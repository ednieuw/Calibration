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dnie\Documents\Files\SRA6x6\"/>
    </mc:Choice>
  </mc:AlternateContent>
  <xr:revisionPtr revIDLastSave="0" documentId="13_ncr:1_{EE7A0BF6-F98B-47AA-BE71-BE236BAA8C48}" xr6:coauthVersionLast="47" xr6:coauthVersionMax="47" xr10:uidLastSave="{00000000-0000-0000-0000-000000000000}"/>
  <bookViews>
    <workbookView xWindow="4140" yWindow="540" windowWidth="30390" windowHeight="19020" xr2:uid="{00000000-000D-0000-FFFF-FFFF00000000}"/>
  </bookViews>
  <sheets>
    <sheet name="SRA" sheetId="1" r:id="rId1"/>
    <sheet name="Version" sheetId="2" r:id="rId2"/>
    <sheet name="Calc" sheetId="3" state="hidden" r:id="rId3"/>
  </sheets>
  <functionGroups builtInGroupCount="19"/>
  <definedNames>
    <definedName name="NB">Calc!$X$66</definedName>
    <definedName name="NS">Calc!$AB$37</definedName>
    <definedName name="NTa">Calc!$P$37</definedName>
    <definedName name="NTb">SRA!#REF!</definedName>
    <definedName name="Ntota">Calc!$P$38</definedName>
    <definedName name="Ntotb">SRA!#REF!</definedName>
    <definedName name="_xlnm.Print_Area" localSheetId="0">SRA!$A$1:$N$37</definedName>
    <definedName name="SlopeB">Calc!$P$53</definedName>
    <definedName name="SlopeS">Calc!$P$51</definedName>
    <definedName name="SlopeTa">Calc!$P$52</definedName>
    <definedName name="SlopeTb">SRA!#REF!</definedName>
    <definedName name="SumXB">Calc!$X$68</definedName>
    <definedName name="SumXBXB">Calc!$P$45</definedName>
    <definedName name="SumXBY">Calc!$P$50</definedName>
    <definedName name="SumXS">Calc!$AB$38</definedName>
    <definedName name="SumXSXB">Calc!$P$46</definedName>
    <definedName name="SumXSXS">Calc!$P$47</definedName>
    <definedName name="SumXSXTa">Calc!$P$43</definedName>
    <definedName name="SumXSXTb">SRA!#REF!</definedName>
    <definedName name="SumXSY">Calc!$P$49</definedName>
    <definedName name="SumXTa">Calc!$P$39</definedName>
    <definedName name="SumXTaXB">Calc!$P$44</definedName>
    <definedName name="SumXTaXTa">Calc!$P$42</definedName>
    <definedName name="SumXTaY">Calc!$P$48</definedName>
    <definedName name="SumXTb">SRA!#REF!</definedName>
    <definedName name="SumXTbXB">SRA!#REF!</definedName>
    <definedName name="SumXTbXTb">SRA!#REF!</definedName>
    <definedName name="SumXTbY">SRA!#REF!</definedName>
    <definedName name="SumYB">Calc!$X$67</definedName>
    <definedName name="SumYS">Calc!$AB$39</definedName>
    <definedName name="SumYTa">Calc!$P$40</definedName>
    <definedName name="SumYTb">SRA!#REF!</definedName>
    <definedName name="SumYtota">Calc!$P$41</definedName>
    <definedName name="SumYtotb">SRA!#REF!</definedName>
    <definedName name="Sxsxtb">SRA!#REF!</definedName>
    <definedName name="Sxtb">SRA!#REF!</definedName>
    <definedName name="Sxtbxb">SRA!#REF!</definedName>
    <definedName name="Sxtbxtb">SRA!#REF!</definedName>
    <definedName name="Sytb">SRA!#REF!</definedName>
    <definedName name="Sytota">Calc!$P$41</definedName>
    <definedName name="Sytotb">SRA!#REF!</definedName>
    <definedName name="Xs">Calc!$AB$36</definedName>
    <definedName name="Xta">Calc!$P$36</definedName>
  </definedNames>
  <calcPr calcId="191029"/>
</workbook>
</file>

<file path=xl/calcChain.xml><?xml version="1.0" encoding="utf-8"?>
<calcChain xmlns="http://schemas.openxmlformats.org/spreadsheetml/2006/main">
  <c r="P39" i="3" l="1"/>
  <c r="AB38" i="3"/>
  <c r="X68" i="3"/>
  <c r="X49" i="3"/>
  <c r="X50" i="3"/>
  <c r="X51" i="3"/>
  <c r="X52" i="3"/>
  <c r="X53" i="3"/>
  <c r="X48" i="3"/>
  <c r="W26" i="3"/>
  <c r="X26" i="3"/>
  <c r="Y26" i="3"/>
  <c r="Z26" i="3"/>
  <c r="AA26" i="3"/>
  <c r="AB26" i="3"/>
  <c r="W27" i="3"/>
  <c r="X27" i="3"/>
  <c r="Y27" i="3"/>
  <c r="Z27" i="3"/>
  <c r="AA27" i="3"/>
  <c r="AB27" i="3"/>
  <c r="W28" i="3"/>
  <c r="X28" i="3"/>
  <c r="Y28" i="3"/>
  <c r="Z28" i="3"/>
  <c r="AA28" i="3"/>
  <c r="AB28" i="3"/>
  <c r="W29" i="3"/>
  <c r="X29" i="3"/>
  <c r="Y29" i="3"/>
  <c r="Z29" i="3"/>
  <c r="AA29" i="3"/>
  <c r="AB29" i="3"/>
  <c r="W30" i="3"/>
  <c r="X30" i="3"/>
  <c r="Y30" i="3"/>
  <c r="Z30" i="3"/>
  <c r="AA30" i="3"/>
  <c r="AB30" i="3"/>
  <c r="O26" i="3"/>
  <c r="P26" i="3"/>
  <c r="Q26" i="3"/>
  <c r="R26" i="3"/>
  <c r="S26" i="3"/>
  <c r="T26" i="3"/>
  <c r="O27" i="3"/>
  <c r="P27" i="3"/>
  <c r="Q27" i="3"/>
  <c r="R27" i="3"/>
  <c r="S27" i="3"/>
  <c r="T27" i="3"/>
  <c r="O28" i="3"/>
  <c r="P28" i="3"/>
  <c r="Q28" i="3"/>
  <c r="R28" i="3"/>
  <c r="S28" i="3"/>
  <c r="T28" i="3"/>
  <c r="O29" i="3"/>
  <c r="P29" i="3"/>
  <c r="Q29" i="3"/>
  <c r="R29" i="3"/>
  <c r="S29" i="3"/>
  <c r="T29" i="3"/>
  <c r="O30" i="3"/>
  <c r="P30" i="3"/>
  <c r="Q30" i="3"/>
  <c r="R30" i="3"/>
  <c r="S30" i="3"/>
  <c r="T30" i="3"/>
  <c r="P25" i="3"/>
  <c r="Q25" i="3"/>
  <c r="R25" i="3"/>
  <c r="S25" i="3"/>
  <c r="T25" i="3"/>
  <c r="O25" i="3"/>
  <c r="W24" i="3"/>
  <c r="W25" i="3"/>
  <c r="X24" i="3"/>
  <c r="X25" i="3"/>
  <c r="Y24" i="3"/>
  <c r="Y25" i="3"/>
  <c r="Z24" i="3"/>
  <c r="Z25" i="3"/>
  <c r="AA24" i="3"/>
  <c r="AA25" i="3"/>
  <c r="AB24" i="3"/>
  <c r="AB25" i="3"/>
  <c r="X47" i="3"/>
  <c r="O24" i="3"/>
  <c r="P24" i="3"/>
  <c r="Q24" i="3"/>
  <c r="R24" i="3"/>
  <c r="S24" i="3"/>
  <c r="T24" i="3"/>
  <c r="Z31" i="3" l="1"/>
  <c r="Z32" i="3" s="1"/>
  <c r="R31" i="3"/>
  <c r="R32" i="3" s="1"/>
  <c r="R33" i="3" s="1"/>
  <c r="W31" i="3"/>
  <c r="W32" i="3" s="1"/>
  <c r="X31" i="3"/>
  <c r="X32" i="3" s="1"/>
  <c r="Y31" i="3"/>
  <c r="Y32" i="3" s="1"/>
  <c r="T31" i="3"/>
  <c r="T32" i="3" s="1"/>
  <c r="T34" i="3" s="1"/>
  <c r="S31" i="3"/>
  <c r="S32" i="3" s="1"/>
  <c r="U99" i="3" s="1"/>
  <c r="Q31" i="3"/>
  <c r="Q32" i="3" s="1"/>
  <c r="R97" i="3" s="1"/>
  <c r="P31" i="3"/>
  <c r="P32" i="3" s="1"/>
  <c r="P33" i="3" s="1"/>
  <c r="O31" i="3"/>
  <c r="O32" i="3" s="1"/>
  <c r="X60" i="3"/>
  <c r="X61" i="3" s="1"/>
  <c r="P92" i="3" s="1"/>
  <c r="AB31" i="3"/>
  <c r="AB32" i="3" s="1"/>
  <c r="AA31" i="3"/>
  <c r="AA32" i="3" s="1"/>
  <c r="O95" i="3" l="1"/>
  <c r="Q95" i="3"/>
  <c r="R91" i="3"/>
  <c r="S91" i="3"/>
  <c r="T91" i="3"/>
  <c r="AA34" i="3"/>
  <c r="S90" i="3"/>
  <c r="R90" i="3"/>
  <c r="T90" i="3"/>
  <c r="T89" i="3"/>
  <c r="R89" i="3"/>
  <c r="S89" i="3"/>
  <c r="S88" i="3"/>
  <c r="T88" i="3"/>
  <c r="R88" i="3"/>
  <c r="R87" i="3"/>
  <c r="T87" i="3"/>
  <c r="S87" i="3"/>
  <c r="R86" i="3"/>
  <c r="S86" i="3"/>
  <c r="T86" i="3"/>
  <c r="Z34" i="3"/>
  <c r="Z33" i="3"/>
  <c r="Q89" i="3"/>
  <c r="P89" i="3"/>
  <c r="U89" i="3"/>
  <c r="O89" i="3"/>
  <c r="O96" i="3"/>
  <c r="Q96" i="3"/>
  <c r="P100" i="3"/>
  <c r="S100" i="3"/>
  <c r="Q97" i="3"/>
  <c r="Q34" i="3"/>
  <c r="T96" i="3"/>
  <c r="S97" i="3"/>
  <c r="P97" i="3"/>
  <c r="P96" i="3"/>
  <c r="P34" i="3"/>
  <c r="R96" i="3"/>
  <c r="X66" i="3"/>
  <c r="O77" i="3" s="1"/>
  <c r="X67" i="3"/>
  <c r="P88" i="3"/>
  <c r="O88" i="3"/>
  <c r="Y34" i="3"/>
  <c r="Q88" i="3"/>
  <c r="Y33" i="3"/>
  <c r="U88" i="3"/>
  <c r="X63" i="3"/>
  <c r="Q100" i="3"/>
  <c r="U97" i="3"/>
  <c r="O97" i="3"/>
  <c r="U100" i="3"/>
  <c r="T97" i="3"/>
  <c r="S96" i="3"/>
  <c r="T100" i="3"/>
  <c r="T33" i="3"/>
  <c r="O100" i="3"/>
  <c r="Q98" i="3"/>
  <c r="Q33" i="3"/>
  <c r="R100" i="3"/>
  <c r="P98" i="3"/>
  <c r="T92" i="3"/>
  <c r="S92" i="3"/>
  <c r="U92" i="3"/>
  <c r="X62" i="3"/>
  <c r="R92" i="3"/>
  <c r="Q92" i="3"/>
  <c r="U91" i="3"/>
  <c r="AB34" i="3"/>
  <c r="AB33" i="3"/>
  <c r="AA33" i="3"/>
  <c r="P90" i="3"/>
  <c r="U90" i="3"/>
  <c r="O90" i="3"/>
  <c r="Q87" i="3"/>
  <c r="U87" i="3"/>
  <c r="O87" i="3"/>
  <c r="X33" i="3"/>
  <c r="P87" i="3"/>
  <c r="X34" i="3"/>
  <c r="S95" i="3"/>
  <c r="R95" i="3"/>
  <c r="T95" i="3"/>
  <c r="O34" i="3"/>
  <c r="P95" i="3"/>
  <c r="O33" i="3"/>
  <c r="U95" i="3"/>
  <c r="U96" i="3"/>
  <c r="O99" i="3"/>
  <c r="R99" i="3"/>
  <c r="S34" i="3"/>
  <c r="T99" i="3"/>
  <c r="S99" i="3"/>
  <c r="S33" i="3"/>
  <c r="P99" i="3"/>
  <c r="Q99" i="3"/>
  <c r="R34" i="3"/>
  <c r="P36" i="3"/>
  <c r="S98" i="3"/>
  <c r="T98" i="3"/>
  <c r="R98" i="3"/>
  <c r="U98" i="3"/>
  <c r="P37" i="3"/>
  <c r="S39" i="3" s="1"/>
  <c r="P40" i="3"/>
  <c r="O98" i="3"/>
  <c r="O91" i="3"/>
  <c r="P91" i="3"/>
  <c r="Q91" i="3"/>
  <c r="Q90" i="3"/>
  <c r="U86" i="3"/>
  <c r="P86" i="3"/>
  <c r="W33" i="3"/>
  <c r="Q86" i="3"/>
  <c r="AB36" i="3"/>
  <c r="O79" i="3" s="1"/>
  <c r="AB37" i="3"/>
  <c r="AB39" i="3"/>
  <c r="W34" i="3"/>
  <c r="O86" i="3"/>
  <c r="T39" i="3" l="1"/>
  <c r="X69" i="3"/>
  <c r="X70" i="3"/>
  <c r="P58" i="3"/>
  <c r="P57" i="3"/>
  <c r="P38" i="3"/>
  <c r="P44" i="3" s="1"/>
  <c r="P41" i="3"/>
  <c r="P78" i="3"/>
  <c r="R78" i="3" s="1"/>
  <c r="AB40" i="3"/>
  <c r="R39" i="3"/>
  <c r="AB41" i="3"/>
  <c r="O80" i="3"/>
  <c r="P42" i="3" l="1"/>
  <c r="P67" i="3" s="1"/>
  <c r="S67" i="3" s="1"/>
  <c r="P47" i="3"/>
  <c r="O66" i="3" s="1"/>
  <c r="R66" i="3" s="1"/>
  <c r="O82" i="3"/>
  <c r="O81" i="3" s="1"/>
  <c r="P82" i="3"/>
  <c r="P49" i="3"/>
  <c r="P74" i="3"/>
  <c r="P80" i="3" s="1"/>
  <c r="P50" i="3"/>
  <c r="P48" i="3"/>
  <c r="P43" i="3"/>
  <c r="P66" i="3" s="1"/>
  <c r="P45" i="3"/>
  <c r="Q68" i="3" s="1"/>
  <c r="P46" i="3"/>
  <c r="Q66" i="3" s="1"/>
  <c r="Q67" i="3"/>
  <c r="P68" i="3"/>
  <c r="P81" i="3" l="1"/>
  <c r="R81" i="3" s="1"/>
  <c r="S78" i="3" s="1"/>
  <c r="C28" i="1" s="1"/>
  <c r="O67" i="3"/>
  <c r="O68" i="3"/>
  <c r="T78" i="3"/>
  <c r="D28" i="1" s="1"/>
  <c r="T77" i="3"/>
  <c r="D27" i="1" s="1"/>
  <c r="P62" i="3"/>
  <c r="T79" i="3"/>
  <c r="D29" i="1" s="1"/>
  <c r="S66" i="3"/>
  <c r="O70" i="3" l="1"/>
  <c r="Q70" i="3"/>
  <c r="Q69" i="3"/>
  <c r="R67" i="3"/>
  <c r="S69" i="3" s="1"/>
  <c r="Q71" i="3"/>
  <c r="O71" i="3"/>
  <c r="P69" i="3"/>
  <c r="P71" i="3"/>
  <c r="P70" i="3"/>
  <c r="O69" i="3"/>
  <c r="E28" i="1"/>
  <c r="S70" i="3" l="1"/>
  <c r="P56" i="3" s="1"/>
  <c r="P51" i="3"/>
  <c r="P63" i="3" s="1"/>
  <c r="R70" i="3"/>
  <c r="P53" i="3"/>
  <c r="R69" i="3"/>
  <c r="P52" i="3"/>
  <c r="Q77" i="3" l="1"/>
  <c r="P59" i="3"/>
  <c r="P61" i="3" s="1"/>
  <c r="E24" i="1" s="1"/>
  <c r="P54" i="3"/>
  <c r="W91" i="3" s="1"/>
  <c r="P55" i="3"/>
  <c r="P76" i="3" s="1"/>
  <c r="P77" i="3" s="1"/>
  <c r="R77" i="3" s="1"/>
  <c r="S77" i="3" s="1"/>
  <c r="C27" i="1" s="1"/>
  <c r="E27" i="1" s="1"/>
  <c r="W100" i="3" l="1"/>
  <c r="P60" i="3"/>
  <c r="F24" i="1" s="1"/>
  <c r="W95" i="3"/>
  <c r="W90" i="3"/>
  <c r="W87" i="3"/>
  <c r="W85" i="3"/>
  <c r="W89" i="3"/>
  <c r="W98" i="3"/>
  <c r="W96" i="3"/>
  <c r="W97" i="3"/>
  <c r="W88" i="3"/>
  <c r="W94" i="3"/>
  <c r="W86" i="3"/>
  <c r="W99" i="3"/>
  <c r="D24" i="1"/>
  <c r="P79" i="3"/>
  <c r="R79" i="3" s="1"/>
  <c r="S79" i="3" s="1"/>
  <c r="C29" i="1" s="1"/>
  <c r="E29" i="1" s="1"/>
</calcChain>
</file>

<file path=xl/sharedStrings.xml><?xml version="1.0" encoding="utf-8"?>
<sst xmlns="http://schemas.openxmlformats.org/spreadsheetml/2006/main" count="198" uniqueCount="146">
  <si>
    <t>Sum doses test</t>
  </si>
  <si>
    <t>Sum reponses standard</t>
  </si>
  <si>
    <t>Sum responses test</t>
  </si>
  <si>
    <t>Responses standard</t>
  </si>
  <si>
    <t>Responses test</t>
  </si>
  <si>
    <t>Doses test</t>
  </si>
  <si>
    <t>Sum doses standard</t>
  </si>
  <si>
    <t>Sum reponses</t>
  </si>
  <si>
    <t>Number responses standard</t>
  </si>
  <si>
    <t>Number responses test</t>
  </si>
  <si>
    <t>Number total responses</t>
  </si>
  <si>
    <t>Sum of squares standard</t>
  </si>
  <si>
    <t>Sum of squares test</t>
  </si>
  <si>
    <t>Sum of squares standard and test</t>
  </si>
  <si>
    <t>Responses blanks</t>
  </si>
  <si>
    <t>Sum of squares standard and blank</t>
  </si>
  <si>
    <t>Sum of squares blank</t>
  </si>
  <si>
    <t>Sum responses blank</t>
  </si>
  <si>
    <t>Sum doses blank</t>
  </si>
  <si>
    <t>Number responses blank</t>
  </si>
  <si>
    <t>Sum of squares test and blank</t>
  </si>
  <si>
    <t>Product of deviation test</t>
  </si>
  <si>
    <t>Product of deviation standard</t>
  </si>
  <si>
    <t>Product of deviation blank</t>
  </si>
  <si>
    <t>Standard</t>
  </si>
  <si>
    <t>Potency</t>
  </si>
  <si>
    <t>Matrix</t>
  </si>
  <si>
    <t>Inverse matrix</t>
  </si>
  <si>
    <t>Ntota</t>
  </si>
  <si>
    <t>NTa</t>
  </si>
  <si>
    <t>SlopeTa</t>
  </si>
  <si>
    <t>NS</t>
  </si>
  <si>
    <t>NB</t>
  </si>
  <si>
    <t>SumXTa</t>
  </si>
  <si>
    <t>SumYTa</t>
  </si>
  <si>
    <t>SumXS</t>
  </si>
  <si>
    <t>SumYS</t>
  </si>
  <si>
    <t>SumYB</t>
  </si>
  <si>
    <t>SumXB</t>
  </si>
  <si>
    <t>SumYtota</t>
  </si>
  <si>
    <t>SumXTaXTa</t>
  </si>
  <si>
    <t>SumXSXTa</t>
  </si>
  <si>
    <t>SumXTaXB</t>
  </si>
  <si>
    <t>SumXTaY</t>
  </si>
  <si>
    <t>SumXSY</t>
  </si>
  <si>
    <t>SumXBY</t>
  </si>
  <si>
    <t>SumXBXB</t>
  </si>
  <si>
    <t>SumXSXB</t>
  </si>
  <si>
    <t>SumXSXS</t>
  </si>
  <si>
    <t>SlopeSa</t>
  </si>
  <si>
    <t>SlopeBa</t>
  </si>
  <si>
    <t>Regression</t>
  </si>
  <si>
    <t xml:space="preserve">Adjustment for mean </t>
  </si>
  <si>
    <t>Nature of variation</t>
  </si>
  <si>
    <t>d.f.</t>
  </si>
  <si>
    <t>Sum of squares</t>
  </si>
  <si>
    <t xml:space="preserve">Mean </t>
  </si>
  <si>
    <t>square</t>
  </si>
  <si>
    <t>Between doses</t>
  </si>
  <si>
    <t>Error</t>
  </si>
  <si>
    <t>Total</t>
  </si>
  <si>
    <t>Blanks</t>
  </si>
  <si>
    <t>Curvature</t>
  </si>
  <si>
    <t>Intersection</t>
  </si>
  <si>
    <t>ANALYSIS OF VARIANCE</t>
  </si>
  <si>
    <t>Number of doses test</t>
  </si>
  <si>
    <t xml:space="preserve">Responses </t>
  </si>
  <si>
    <t xml:space="preserve">Doses </t>
  </si>
  <si>
    <t>Test</t>
  </si>
  <si>
    <t>y1</t>
  </si>
  <si>
    <t>y2</t>
  </si>
  <si>
    <t>y3</t>
  </si>
  <si>
    <t>y4</t>
  </si>
  <si>
    <t>y(calc)</t>
  </si>
  <si>
    <t xml:space="preserve">Average responses standard </t>
  </si>
  <si>
    <t>Average responses blank</t>
  </si>
  <si>
    <t xml:space="preserve">Average doses standard </t>
  </si>
  <si>
    <t>Average doses blank</t>
  </si>
  <si>
    <t>Responses all</t>
  </si>
  <si>
    <t>Responses</t>
  </si>
  <si>
    <t>Doses AND responses</t>
  </si>
  <si>
    <t>Dose AND responses</t>
  </si>
  <si>
    <t>Intercept</t>
  </si>
  <si>
    <t>Slope standard</t>
  </si>
  <si>
    <t>Slope test</t>
  </si>
  <si>
    <t>Slope blank</t>
  </si>
  <si>
    <t>Average doses test</t>
  </si>
  <si>
    <t>Average responses test</t>
  </si>
  <si>
    <t>Number of doses blank</t>
  </si>
  <si>
    <t>XB</t>
  </si>
  <si>
    <t>XS</t>
  </si>
  <si>
    <t>XTa</t>
  </si>
  <si>
    <t>Doses standard</t>
  </si>
  <si>
    <t>Doses blanks</t>
  </si>
  <si>
    <t>R</t>
  </si>
  <si>
    <t>Ratio test/standard</t>
  </si>
  <si>
    <t>Sum Y^2</t>
  </si>
  <si>
    <t>Average Sum Y^2</t>
  </si>
  <si>
    <t>Slope test (without blank)</t>
  </si>
  <si>
    <t>Slope standard (without blank)</t>
  </si>
  <si>
    <t>SlopeSa(-Bl)</t>
  </si>
  <si>
    <t>SlopeTa(-Bl)</t>
  </si>
  <si>
    <t>F95%</t>
  </si>
  <si>
    <t>Norm</t>
  </si>
  <si>
    <t>g</t>
  </si>
  <si>
    <t>R upper</t>
  </si>
  <si>
    <t>R lower</t>
  </si>
  <si>
    <t>t</t>
  </si>
  <si>
    <t>blanks</t>
  </si>
  <si>
    <t>Number of doses standard</t>
  </si>
  <si>
    <t>3 x 3</t>
  </si>
  <si>
    <t>2 x 2</t>
  </si>
  <si>
    <t>Example from</t>
  </si>
  <si>
    <t>Statistical Method in biological assay</t>
  </si>
  <si>
    <t>Ok</t>
  </si>
  <si>
    <t>Date:</t>
  </si>
  <si>
    <t>Sample name:</t>
  </si>
  <si>
    <t>F-calc</t>
  </si>
  <si>
    <t>F-critical</t>
  </si>
  <si>
    <t>Predilution sample</t>
  </si>
  <si>
    <t>Standard name</t>
  </si>
  <si>
    <t>Check data for slope ratio assay</t>
  </si>
  <si>
    <t xml:space="preserve">Third edition </t>
  </si>
  <si>
    <t>David J.Finney pag 150</t>
  </si>
  <si>
    <t>Worksheet adapted and checked against routinely used calculation method</t>
  </si>
  <si>
    <t xml:space="preserve">Checked against original source: </t>
  </si>
  <si>
    <t>Ed Nieuwenhuys, 2009</t>
  </si>
  <si>
    <t>Version SRA 28 feb 2009</t>
  </si>
  <si>
    <t>Italic and/or Bold = omit point, Press F2 and press Enter to recalculate the sheet</t>
  </si>
  <si>
    <t>SRA 15 mar 2009</t>
  </si>
  <si>
    <t>A bold or italic entry will not be used in calculations</t>
  </si>
  <si>
    <t>Macro running needs to be enabled in this version</t>
  </si>
  <si>
    <t>y5</t>
  </si>
  <si>
    <t>y6</t>
  </si>
  <si>
    <t>Nta</t>
  </si>
  <si>
    <t>SRA6x6 16Aug2021</t>
  </si>
  <si>
    <t>SRA6x6 16 Aug 2021</t>
  </si>
  <si>
    <t>SRA6x6 16aug2021</t>
  </si>
  <si>
    <t>Redesigned Graph</t>
  </si>
  <si>
    <t>Adjusted Visual basic coding</t>
  </si>
  <si>
    <t>Graph</t>
  </si>
  <si>
    <t>Dose</t>
  </si>
  <si>
    <t xml:space="preserve">Macros and not enabled !! --&gt; Set security "Low" to enable macros to run </t>
  </si>
  <si>
    <t>SRA 31mrt</t>
  </si>
  <si>
    <t>False reference in formulae corrected</t>
  </si>
  <si>
    <t>Added two responses rows resulting in major changes in formulaes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</si>
</sst>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0.0000"/>
    <numFmt numFmtId="166" formatCode="0.000"/>
    <numFmt numFmtId="167" formatCode="0.0000000"/>
  </numFmts>
  <fonts count="22" x14ac:knownFonts="1">
    <font>
      <sz val="10"/>
      <name val="Arial"/>
    </font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0"/>
      <color indexed="1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i/>
      <sz val="10"/>
      <name val="Arial"/>
      <family val="2"/>
    </font>
    <font>
      <sz val="10"/>
      <color indexed="9"/>
      <name val="Arial"/>
      <family val="2"/>
    </font>
    <font>
      <sz val="8"/>
      <name val="Arial"/>
      <family val="2"/>
    </font>
    <font>
      <sz val="10"/>
      <color indexed="57"/>
      <name val="Arial"/>
      <family val="2"/>
    </font>
    <font>
      <b/>
      <sz val="12"/>
      <color indexed="8"/>
      <name val="Arial"/>
      <family val="2"/>
    </font>
    <font>
      <b/>
      <sz val="10"/>
      <color indexed="56"/>
      <name val="Arial"/>
      <family val="2"/>
    </font>
    <font>
      <sz val="10"/>
      <color indexed="62"/>
      <name val="Arial"/>
      <family val="2"/>
    </font>
    <font>
      <b/>
      <sz val="14"/>
      <color indexed="10"/>
      <name val="Arial"/>
      <family val="2"/>
    </font>
    <font>
      <sz val="10"/>
      <color indexed="12"/>
      <name val="Arial"/>
      <family val="2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name val="Calibri"/>
      <family val="2"/>
      <scheme val="minor"/>
    </font>
    <font>
      <sz val="16"/>
      <name val="Arial"/>
      <family val="2"/>
    </font>
    <font>
      <b/>
      <sz val="16"/>
      <color indexed="56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99"/>
        <bgColor indexed="64"/>
      </patternFill>
    </fill>
  </fills>
  <borders count="7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17" fillId="12" borderId="0" applyNumberFormat="0" applyBorder="0" applyAlignment="0" applyProtection="0"/>
    <xf numFmtId="0" fontId="18" fillId="13" borderId="0" applyNumberFormat="0" applyBorder="0" applyAlignment="0" applyProtection="0"/>
  </cellStyleXfs>
  <cellXfs count="495">
    <xf numFmtId="0" fontId="0" fillId="0" borderId="0" xfId="0"/>
    <xf numFmtId="0" fontId="0" fillId="0" borderId="0" xfId="0" applyBorder="1"/>
    <xf numFmtId="0" fontId="0" fillId="0" borderId="0" xfId="0" applyBorder="1" applyAlignment="1">
      <alignment horizontal="left"/>
    </xf>
    <xf numFmtId="0" fontId="0" fillId="0" borderId="0" xfId="0" quotePrefix="1" applyBorder="1" applyAlignment="1">
      <alignment horizontal="left"/>
    </xf>
    <xf numFmtId="0" fontId="0" fillId="0" borderId="0" xfId="0" applyBorder="1" applyAlignment="1">
      <alignment horizontal="right"/>
    </xf>
    <xf numFmtId="0" fontId="0" fillId="0" borderId="0" xfId="0" quotePrefix="1" applyBorder="1" applyAlignment="1">
      <alignment horizontal="right"/>
    </xf>
    <xf numFmtId="0" fontId="0" fillId="0" borderId="0" xfId="0" applyFill="1" applyAlignment="1">
      <alignment vertical="center"/>
    </xf>
    <xf numFmtId="0" fontId="0" fillId="0" borderId="0" xfId="0" applyFill="1" applyBorder="1" applyAlignment="1">
      <alignment vertical="center"/>
    </xf>
    <xf numFmtId="0" fontId="0" fillId="0" borderId="0" xfId="0" applyFill="1"/>
    <xf numFmtId="0" fontId="0" fillId="0" borderId="0" xfId="0" applyFill="1" applyBorder="1"/>
    <xf numFmtId="0" fontId="0" fillId="0" borderId="0" xfId="0" quotePrefix="1" applyFill="1" applyBorder="1" applyAlignment="1">
      <alignment horizontal="left"/>
    </xf>
    <xf numFmtId="2" fontId="0" fillId="0" borderId="0" xfId="0" applyNumberFormat="1" applyFill="1" applyBorder="1"/>
    <xf numFmtId="0" fontId="0" fillId="0" borderId="1" xfId="0" applyFill="1" applyBorder="1" applyAlignment="1">
      <alignment vertical="center"/>
    </xf>
    <xf numFmtId="0" fontId="0" fillId="0" borderId="2" xfId="0" quotePrefix="1" applyFill="1" applyBorder="1" applyAlignment="1">
      <alignment horizontal="left" vertical="center"/>
    </xf>
    <xf numFmtId="2" fontId="3" fillId="0" borderId="3" xfId="0" applyNumberFormat="1" applyFont="1" applyFill="1" applyBorder="1" applyAlignment="1">
      <alignment horizontal="center" vertical="center"/>
    </xf>
    <xf numFmtId="0" fontId="0" fillId="0" borderId="4" xfId="0" applyFill="1" applyBorder="1" applyAlignment="1">
      <alignment vertical="center"/>
    </xf>
    <xf numFmtId="0" fontId="0" fillId="0" borderId="5" xfId="0" quotePrefix="1" applyFill="1" applyBorder="1" applyAlignment="1">
      <alignment horizontal="left" vertical="center"/>
    </xf>
    <xf numFmtId="2" fontId="3" fillId="0" borderId="6" xfId="0" applyNumberFormat="1" applyFont="1" applyFill="1" applyBorder="1" applyAlignment="1">
      <alignment horizontal="center" vertical="center"/>
    </xf>
    <xf numFmtId="2" fontId="0" fillId="0" borderId="0" xfId="0" applyNumberFormat="1" applyFill="1" applyAlignment="1">
      <alignment vertical="center"/>
    </xf>
    <xf numFmtId="0" fontId="0" fillId="0" borderId="4" xfId="0" quotePrefix="1" applyFill="1" applyBorder="1" applyAlignment="1">
      <alignment horizontal="left" vertical="center"/>
    </xf>
    <xf numFmtId="0" fontId="0" fillId="0" borderId="5" xfId="0" applyFill="1" applyBorder="1" applyAlignment="1">
      <alignment horizontal="left" vertical="center"/>
    </xf>
    <xf numFmtId="0" fontId="0" fillId="0" borderId="5" xfId="0" applyFill="1" applyBorder="1" applyAlignment="1">
      <alignment vertical="center"/>
    </xf>
    <xf numFmtId="0" fontId="0" fillId="0" borderId="7" xfId="0" applyFill="1" applyBorder="1" applyAlignment="1">
      <alignment vertical="center"/>
    </xf>
    <xf numFmtId="0" fontId="0" fillId="0" borderId="8" xfId="0" applyFill="1" applyBorder="1" applyAlignment="1">
      <alignment vertical="center"/>
    </xf>
    <xf numFmtId="2" fontId="3" fillId="0" borderId="9" xfId="0" quotePrefix="1" applyNumberFormat="1" applyFont="1" applyFill="1" applyBorder="1" applyAlignment="1">
      <alignment horizontal="center" vertical="center"/>
    </xf>
    <xf numFmtId="0" fontId="0" fillId="0" borderId="1" xfId="0" quotePrefix="1" applyFill="1" applyBorder="1" applyAlignment="1">
      <alignment horizontal="left" vertical="center"/>
    </xf>
    <xf numFmtId="0" fontId="0" fillId="0" borderId="7" xfId="0" quotePrefix="1" applyFill="1" applyBorder="1" applyAlignment="1">
      <alignment horizontal="left" vertical="center"/>
    </xf>
    <xf numFmtId="0" fontId="0" fillId="0" borderId="8" xfId="0" quotePrefix="1" applyFill="1" applyBorder="1" applyAlignment="1">
      <alignment horizontal="left" vertical="center"/>
    </xf>
    <xf numFmtId="2" fontId="3" fillId="0" borderId="9" xfId="0" applyNumberFormat="1" applyFont="1" applyFill="1" applyBorder="1" applyAlignment="1">
      <alignment horizontal="center" vertical="center"/>
    </xf>
    <xf numFmtId="166" fontId="0" fillId="0" borderId="0" xfId="0" applyNumberFormat="1" applyFill="1" applyBorder="1" applyAlignment="1">
      <alignment vertical="center"/>
    </xf>
    <xf numFmtId="165" fontId="0" fillId="0" borderId="0" xfId="0" applyNumberFormat="1" applyFill="1" applyBorder="1" applyAlignment="1">
      <alignment vertical="center"/>
    </xf>
    <xf numFmtId="0" fontId="0" fillId="0" borderId="10" xfId="0" quotePrefix="1" applyFill="1" applyBorder="1" applyAlignment="1">
      <alignment horizontal="left" vertical="center"/>
    </xf>
    <xf numFmtId="0" fontId="0" fillId="0" borderId="11" xfId="0" applyFill="1" applyBorder="1" applyAlignment="1">
      <alignment vertical="center"/>
    </xf>
    <xf numFmtId="2" fontId="3" fillId="0" borderId="12" xfId="0" applyNumberFormat="1" applyFont="1" applyFill="1" applyBorder="1" applyAlignment="1">
      <alignment horizontal="center" vertical="center"/>
    </xf>
    <xf numFmtId="0" fontId="0" fillId="0" borderId="13" xfId="0" quotePrefix="1" applyFill="1" applyBorder="1" applyAlignment="1">
      <alignment horizontal="left" vertical="center"/>
    </xf>
    <xf numFmtId="2" fontId="0" fillId="0" borderId="14" xfId="0" applyNumberFormat="1" applyFill="1" applyBorder="1" applyAlignment="1">
      <alignment horizontal="center" vertical="center"/>
    </xf>
    <xf numFmtId="0" fontId="0" fillId="0" borderId="11" xfId="0" quotePrefix="1" applyFill="1" applyBorder="1" applyAlignment="1">
      <alignment horizontal="left" vertical="center"/>
    </xf>
    <xf numFmtId="0" fontId="0" fillId="0" borderId="15" xfId="0" applyFill="1" applyBorder="1" applyAlignment="1">
      <alignment vertical="center"/>
    </xf>
    <xf numFmtId="2" fontId="3" fillId="0" borderId="16" xfId="0" applyNumberFormat="1" applyFont="1" applyFill="1" applyBorder="1" applyAlignment="1">
      <alignment horizontal="center" vertical="center"/>
    </xf>
    <xf numFmtId="0" fontId="0" fillId="0" borderId="13" xfId="0" applyFill="1" applyBorder="1" applyAlignment="1">
      <alignment vertical="center"/>
    </xf>
    <xf numFmtId="2" fontId="3" fillId="0" borderId="14" xfId="0" applyNumberFormat="1" applyFont="1" applyFill="1" applyBorder="1" applyAlignment="1">
      <alignment horizontal="center" vertical="center"/>
    </xf>
    <xf numFmtId="0" fontId="0" fillId="0" borderId="17" xfId="0" applyFill="1" applyBorder="1" applyAlignment="1">
      <alignment horizontal="left" vertical="center"/>
    </xf>
    <xf numFmtId="166" fontId="3" fillId="0" borderId="16" xfId="0" applyNumberFormat="1" applyFont="1" applyFill="1" applyBorder="1" applyAlignment="1">
      <alignment horizontal="center" vertical="center"/>
    </xf>
    <xf numFmtId="1" fontId="0" fillId="0" borderId="0" xfId="0" applyNumberFormat="1" applyFill="1" applyBorder="1" applyAlignment="1">
      <alignment vertical="center"/>
    </xf>
    <xf numFmtId="0" fontId="0" fillId="0" borderId="18" xfId="0" quotePrefix="1" applyFill="1" applyBorder="1" applyAlignment="1">
      <alignment horizontal="left" vertical="center"/>
    </xf>
    <xf numFmtId="166" fontId="3" fillId="0" borderId="14" xfId="0" applyNumberFormat="1" applyFont="1" applyFill="1" applyBorder="1" applyAlignment="1">
      <alignment horizontal="center" vertical="center"/>
    </xf>
    <xf numFmtId="0" fontId="0" fillId="0" borderId="19" xfId="0" applyFill="1" applyBorder="1" applyAlignment="1">
      <alignment horizontal="left" vertical="center"/>
    </xf>
    <xf numFmtId="0" fontId="0" fillId="0" borderId="20" xfId="0" applyFill="1" applyBorder="1" applyAlignment="1">
      <alignment horizontal="left" vertical="center"/>
    </xf>
    <xf numFmtId="165" fontId="3" fillId="0" borderId="21" xfId="0" applyNumberFormat="1" applyFont="1" applyFill="1" applyBorder="1" applyAlignment="1">
      <alignment horizontal="center" vertical="center"/>
    </xf>
    <xf numFmtId="0" fontId="0" fillId="0" borderId="22" xfId="0" applyFill="1" applyBorder="1" applyAlignment="1">
      <alignment horizontal="left" vertical="center"/>
    </xf>
    <xf numFmtId="0" fontId="0" fillId="0" borderId="23" xfId="0" applyFill="1" applyBorder="1" applyAlignment="1">
      <alignment vertical="center"/>
    </xf>
    <xf numFmtId="166" fontId="3" fillId="0" borderId="24" xfId="0" applyNumberFormat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left" vertical="center"/>
    </xf>
    <xf numFmtId="166" fontId="3" fillId="0" borderId="0" xfId="0" applyNumberFormat="1" applyFont="1" applyFill="1" applyBorder="1" applyAlignment="1">
      <alignment horizontal="center" vertical="center"/>
    </xf>
    <xf numFmtId="2" fontId="5" fillId="0" borderId="0" xfId="0" applyNumberFormat="1" applyFont="1" applyFill="1" applyBorder="1" applyAlignment="1">
      <alignment horizontal="center" vertical="center"/>
    </xf>
    <xf numFmtId="2" fontId="0" fillId="0" borderId="0" xfId="0" applyNumberFormat="1" applyFill="1" applyBorder="1" applyAlignment="1">
      <alignment vertical="center"/>
    </xf>
    <xf numFmtId="0" fontId="0" fillId="0" borderId="28" xfId="0" applyFill="1" applyBorder="1" applyAlignment="1">
      <alignment vertical="center"/>
    </xf>
    <xf numFmtId="0" fontId="0" fillId="0" borderId="32" xfId="0" quotePrefix="1" applyFill="1" applyBorder="1" applyAlignment="1">
      <alignment horizontal="left" vertical="center"/>
    </xf>
    <xf numFmtId="0" fontId="3" fillId="0" borderId="33" xfId="0" applyFont="1" applyFill="1" applyBorder="1" applyAlignment="1">
      <alignment horizontal="center" vertical="center"/>
    </xf>
    <xf numFmtId="0" fontId="3" fillId="0" borderId="34" xfId="0" applyFont="1" applyFill="1" applyBorder="1" applyAlignment="1">
      <alignment vertical="center"/>
    </xf>
    <xf numFmtId="0" fontId="3" fillId="0" borderId="35" xfId="0" applyFont="1" applyFill="1" applyBorder="1" applyAlignment="1">
      <alignment vertical="center"/>
    </xf>
    <xf numFmtId="165" fontId="3" fillId="0" borderId="36" xfId="0" applyNumberFormat="1" applyFont="1" applyFill="1" applyBorder="1" applyAlignment="1">
      <alignment horizontal="center" vertical="center"/>
    </xf>
    <xf numFmtId="0" fontId="3" fillId="0" borderId="26" xfId="0" applyFont="1" applyFill="1" applyBorder="1" applyAlignment="1">
      <alignment horizontal="center" vertical="center"/>
    </xf>
    <xf numFmtId="0" fontId="3" fillId="0" borderId="11" xfId="0" applyFont="1" applyFill="1" applyBorder="1" applyAlignment="1">
      <alignment horizontal="center" vertical="center"/>
    </xf>
    <xf numFmtId="0" fontId="3" fillId="0" borderId="12" xfId="0" applyFont="1" applyFill="1" applyBorder="1" applyAlignment="1">
      <alignment horizontal="center" vertical="center"/>
    </xf>
    <xf numFmtId="0" fontId="3" fillId="0" borderId="13" xfId="0" applyFont="1" applyFill="1" applyBorder="1" applyAlignment="1">
      <alignment horizontal="center" vertical="center"/>
    </xf>
    <xf numFmtId="0" fontId="3" fillId="0" borderId="37" xfId="0" applyFont="1" applyFill="1" applyBorder="1" applyAlignment="1">
      <alignment horizontal="center" vertical="center"/>
    </xf>
    <xf numFmtId="0" fontId="3" fillId="0" borderId="0" xfId="0" applyFont="1" applyFill="1" applyAlignment="1">
      <alignment vertical="center"/>
    </xf>
    <xf numFmtId="165" fontId="3" fillId="0" borderId="15" xfId="0" applyNumberFormat="1" applyFont="1" applyFill="1" applyBorder="1" applyAlignment="1">
      <alignment horizontal="center" vertical="center"/>
    </xf>
    <xf numFmtId="165" fontId="3" fillId="0" borderId="16" xfId="0" applyNumberFormat="1" applyFont="1" applyFill="1" applyBorder="1" applyAlignment="1">
      <alignment horizontal="center" vertical="center"/>
    </xf>
    <xf numFmtId="165" fontId="3" fillId="0" borderId="13" xfId="0" applyNumberFormat="1" applyFont="1" applyFill="1" applyBorder="1" applyAlignment="1">
      <alignment horizontal="center" vertical="center"/>
    </xf>
    <xf numFmtId="165" fontId="3" fillId="0" borderId="38" xfId="0" applyNumberFormat="1" applyFont="1" applyFill="1" applyBorder="1" applyAlignment="1">
      <alignment horizontal="center" vertical="center"/>
    </xf>
    <xf numFmtId="165" fontId="3" fillId="0" borderId="14" xfId="0" applyNumberFormat="1" applyFont="1" applyFill="1" applyBorder="1" applyAlignment="1">
      <alignment horizontal="center" vertical="center"/>
    </xf>
    <xf numFmtId="165" fontId="3" fillId="0" borderId="12" xfId="0" applyNumberFormat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3" fillId="0" borderId="39" xfId="0" applyFont="1" applyFill="1" applyBorder="1" applyAlignment="1">
      <alignment horizontal="center" vertical="center"/>
    </xf>
    <xf numFmtId="0" fontId="3" fillId="0" borderId="40" xfId="0" applyFont="1" applyFill="1" applyBorder="1" applyAlignment="1">
      <alignment vertical="center"/>
    </xf>
    <xf numFmtId="0" fontId="3" fillId="0" borderId="41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43" xfId="0" applyFont="1" applyFill="1" applyBorder="1" applyAlignment="1">
      <alignment vertical="center"/>
    </xf>
    <xf numFmtId="0" fontId="3" fillId="0" borderId="30" xfId="0" applyFont="1" applyFill="1" applyBorder="1" applyAlignment="1">
      <alignment horizontal="center" vertical="center"/>
    </xf>
    <xf numFmtId="0" fontId="3" fillId="0" borderId="0" xfId="0" applyFont="1" applyFill="1"/>
    <xf numFmtId="0" fontId="3" fillId="0" borderId="0" xfId="0" applyFont="1" applyFill="1" applyBorder="1"/>
    <xf numFmtId="165" fontId="0" fillId="0" borderId="0" xfId="0" applyNumberFormat="1" applyFill="1" applyBorder="1"/>
    <xf numFmtId="0" fontId="4" fillId="0" borderId="0" xfId="0" applyFont="1" applyFill="1" applyBorder="1" applyAlignment="1">
      <alignment vertical="center"/>
    </xf>
    <xf numFmtId="0" fontId="0" fillId="0" borderId="14" xfId="0" applyBorder="1"/>
    <xf numFmtId="0" fontId="0" fillId="0" borderId="31" xfId="0" applyBorder="1"/>
    <xf numFmtId="166" fontId="0" fillId="2" borderId="0" xfId="0" applyNumberFormat="1" applyFill="1" applyBorder="1" applyAlignment="1">
      <alignment horizontal="center" vertical="center"/>
    </xf>
    <xf numFmtId="0" fontId="0" fillId="2" borderId="18" xfId="0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0" fillId="2" borderId="44" xfId="0" applyFill="1" applyBorder="1" applyAlignment="1">
      <alignment horizontal="left" vertical="center"/>
    </xf>
    <xf numFmtId="0" fontId="0" fillId="2" borderId="43" xfId="0" applyFill="1" applyBorder="1" applyAlignment="1">
      <alignment vertical="center"/>
    </xf>
    <xf numFmtId="0" fontId="0" fillId="0" borderId="29" xfId="0" applyBorder="1"/>
    <xf numFmtId="0" fontId="0" fillId="2" borderId="0" xfId="0" applyFill="1"/>
    <xf numFmtId="0" fontId="0" fillId="2" borderId="0" xfId="0" applyFill="1" applyAlignment="1">
      <alignment vertical="center"/>
    </xf>
    <xf numFmtId="0" fontId="7" fillId="2" borderId="0" xfId="0" applyFont="1" applyFill="1" applyAlignment="1">
      <alignment horizontal="center" vertical="center"/>
    </xf>
    <xf numFmtId="0" fontId="0" fillId="2" borderId="25" xfId="0" quotePrefix="1" applyFill="1" applyBorder="1" applyAlignment="1">
      <alignment horizontal="left" vertical="center"/>
    </xf>
    <xf numFmtId="0" fontId="0" fillId="2" borderId="33" xfId="0" applyFill="1" applyBorder="1"/>
    <xf numFmtId="0" fontId="0" fillId="2" borderId="35" xfId="0" applyFill="1" applyBorder="1"/>
    <xf numFmtId="0" fontId="0" fillId="2" borderId="44" xfId="0" applyFill="1" applyBorder="1"/>
    <xf numFmtId="0" fontId="0" fillId="2" borderId="0" xfId="0" applyFill="1" applyBorder="1"/>
    <xf numFmtId="0" fontId="0" fillId="2" borderId="14" xfId="0" applyFill="1" applyBorder="1"/>
    <xf numFmtId="0" fontId="0" fillId="2" borderId="18" xfId="0" applyFill="1" applyBorder="1"/>
    <xf numFmtId="0" fontId="0" fillId="2" borderId="31" xfId="0" applyFill="1" applyBorder="1"/>
    <xf numFmtId="0" fontId="0" fillId="2" borderId="43" xfId="0" applyFill="1" applyBorder="1"/>
    <xf numFmtId="0" fontId="5" fillId="2" borderId="0" xfId="0" applyFont="1" applyFill="1" applyBorder="1" applyAlignment="1">
      <alignment horizontal="center" vertical="center"/>
    </xf>
    <xf numFmtId="0" fontId="0" fillId="2" borderId="25" xfId="0" applyFill="1" applyBorder="1" applyAlignment="1">
      <alignment horizontal="left" vertical="center"/>
    </xf>
    <xf numFmtId="0" fontId="0" fillId="2" borderId="0" xfId="0" applyFill="1" applyBorder="1" applyAlignment="1">
      <alignment horizontal="right" vertical="center"/>
    </xf>
    <xf numFmtId="2" fontId="5" fillId="2" borderId="0" xfId="0" applyNumberFormat="1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left" vertical="center"/>
    </xf>
    <xf numFmtId="166" fontId="0" fillId="2" borderId="0" xfId="0" applyNumberFormat="1" applyFill="1" applyAlignment="1">
      <alignment horizontal="center" vertical="center"/>
    </xf>
    <xf numFmtId="2" fontId="0" fillId="2" borderId="20" xfId="0" applyNumberFormat="1" applyFill="1" applyBorder="1" applyAlignment="1">
      <alignment horizontal="center" vertical="center"/>
    </xf>
    <xf numFmtId="2" fontId="5" fillId="2" borderId="20" xfId="0" applyNumberFormat="1" applyFont="1" applyFill="1" applyBorder="1" applyAlignment="1">
      <alignment horizontal="center" vertical="center"/>
    </xf>
    <xf numFmtId="2" fontId="0" fillId="2" borderId="0" xfId="0" applyNumberFormat="1" applyFill="1" applyAlignment="1">
      <alignment vertical="center"/>
    </xf>
    <xf numFmtId="165" fontId="0" fillId="2" borderId="0" xfId="0" applyNumberFormat="1" applyFill="1" applyAlignment="1">
      <alignment vertical="center"/>
    </xf>
    <xf numFmtId="2" fontId="0" fillId="2" borderId="0" xfId="0" applyNumberFormat="1" applyFill="1" applyBorder="1" applyAlignment="1">
      <alignment vertical="center"/>
    </xf>
    <xf numFmtId="0" fontId="8" fillId="2" borderId="0" xfId="0" applyFont="1" applyFill="1" applyBorder="1" applyAlignment="1">
      <alignment horizontal="center"/>
    </xf>
    <xf numFmtId="0" fontId="0" fillId="2" borderId="0" xfId="0" applyFill="1" applyBorder="1" applyAlignment="1"/>
    <xf numFmtId="0" fontId="0" fillId="2" borderId="0" xfId="0" quotePrefix="1" applyFill="1" applyBorder="1" applyAlignment="1">
      <alignment horizontal="left"/>
    </xf>
    <xf numFmtId="2" fontId="0" fillId="2" borderId="0" xfId="0" applyNumberFormat="1" applyFill="1"/>
    <xf numFmtId="2" fontId="0" fillId="2" borderId="0" xfId="0" applyNumberFormat="1" applyFill="1" applyBorder="1"/>
    <xf numFmtId="0" fontId="0" fillId="2" borderId="45" xfId="0" applyFill="1" applyBorder="1" applyAlignment="1">
      <alignment horizontal="left" vertical="center"/>
    </xf>
    <xf numFmtId="0" fontId="0" fillId="2" borderId="46" xfId="0" applyFill="1" applyBorder="1" applyAlignment="1">
      <alignment vertical="center"/>
    </xf>
    <xf numFmtId="0" fontId="0" fillId="2" borderId="47" xfId="0" applyFill="1" applyBorder="1" applyAlignment="1">
      <alignment vertical="center"/>
    </xf>
    <xf numFmtId="0" fontId="0" fillId="0" borderId="18" xfId="0" applyBorder="1"/>
    <xf numFmtId="0" fontId="0" fillId="0" borderId="43" xfId="0" applyBorder="1"/>
    <xf numFmtId="9" fontId="0" fillId="2" borderId="48" xfId="0" applyNumberFormat="1" applyFill="1" applyBorder="1" applyAlignment="1">
      <alignment horizontal="center" vertical="center"/>
    </xf>
    <xf numFmtId="9" fontId="0" fillId="2" borderId="49" xfId="0" applyNumberFormat="1" applyFill="1" applyBorder="1" applyAlignment="1">
      <alignment horizontal="center" vertical="center"/>
    </xf>
    <xf numFmtId="0" fontId="0" fillId="2" borderId="18" xfId="0" quotePrefix="1" applyFill="1" applyBorder="1" applyAlignment="1">
      <alignment horizontal="right" vertical="center"/>
    </xf>
    <xf numFmtId="0" fontId="0" fillId="2" borderId="43" xfId="0" applyFill="1" applyBorder="1" applyAlignment="1">
      <alignment horizontal="right" vertical="center"/>
    </xf>
    <xf numFmtId="2" fontId="5" fillId="2" borderId="23" xfId="0" applyNumberFormat="1" applyFont="1" applyFill="1" applyBorder="1" applyAlignment="1">
      <alignment horizontal="center" vertical="center"/>
    </xf>
    <xf numFmtId="2" fontId="0" fillId="2" borderId="23" xfId="0" applyNumberFormat="1" applyFill="1" applyBorder="1" applyAlignment="1">
      <alignment horizontal="center" vertical="center"/>
    </xf>
    <xf numFmtId="0" fontId="0" fillId="0" borderId="44" xfId="0" applyBorder="1" applyAlignment="1">
      <alignment horizontal="right"/>
    </xf>
    <xf numFmtId="0" fontId="0" fillId="0" borderId="43" xfId="0" applyBorder="1" applyAlignment="1">
      <alignment horizontal="right"/>
    </xf>
    <xf numFmtId="0" fontId="0" fillId="0" borderId="35" xfId="0" applyFill="1" applyBorder="1"/>
    <xf numFmtId="0" fontId="0" fillId="0" borderId="14" xfId="0" applyFill="1" applyBorder="1"/>
    <xf numFmtId="0" fontId="0" fillId="0" borderId="31" xfId="0" applyFill="1" applyBorder="1"/>
    <xf numFmtId="166" fontId="0" fillId="2" borderId="50" xfId="0" applyNumberFormat="1" applyFill="1" applyBorder="1" applyAlignment="1">
      <alignment horizontal="center" vertical="center"/>
    </xf>
    <xf numFmtId="1" fontId="0" fillId="2" borderId="51" xfId="0" applyNumberFormat="1" applyFill="1" applyBorder="1" applyAlignment="1">
      <alignment horizontal="center" vertical="center"/>
    </xf>
    <xf numFmtId="0" fontId="0" fillId="2" borderId="18" xfId="0" applyFill="1" applyBorder="1" applyAlignment="1">
      <alignment horizontal="right" vertical="center"/>
    </xf>
    <xf numFmtId="0" fontId="0" fillId="0" borderId="25" xfId="0" applyNumberFormat="1" applyFill="1" applyBorder="1" applyAlignment="1">
      <alignment horizontal="center" vertical="center"/>
    </xf>
    <xf numFmtId="0" fontId="0" fillId="0" borderId="52" xfId="0" applyNumberFormat="1" applyFill="1" applyBorder="1" applyAlignment="1">
      <alignment horizontal="center" vertical="center"/>
    </xf>
    <xf numFmtId="0" fontId="0" fillId="0" borderId="53" xfId="0" applyNumberFormat="1" applyFill="1" applyBorder="1" applyAlignment="1">
      <alignment horizontal="center" vertical="center"/>
    </xf>
    <xf numFmtId="0" fontId="3" fillId="2" borderId="44" xfId="0" applyFont="1" applyFill="1" applyBorder="1" applyAlignment="1">
      <alignment horizontal="right"/>
    </xf>
    <xf numFmtId="49" fontId="3" fillId="2" borderId="33" xfId="0" applyNumberFormat="1" applyFont="1" applyFill="1" applyBorder="1"/>
    <xf numFmtId="49" fontId="5" fillId="2" borderId="33" xfId="0" applyNumberFormat="1" applyFont="1" applyFill="1" applyBorder="1" applyAlignment="1" applyProtection="1">
      <alignment horizontal="left"/>
    </xf>
    <xf numFmtId="49" fontId="3" fillId="2" borderId="35" xfId="0" applyNumberFormat="1" applyFont="1" applyFill="1" applyBorder="1"/>
    <xf numFmtId="0" fontId="3" fillId="2" borderId="18" xfId="0" applyFont="1" applyFill="1" applyBorder="1" applyAlignment="1">
      <alignment horizontal="right"/>
    </xf>
    <xf numFmtId="49" fontId="2" fillId="2" borderId="0" xfId="0" applyNumberFormat="1" applyFont="1" applyFill="1" applyBorder="1" applyAlignment="1" applyProtection="1">
      <alignment horizontal="left"/>
    </xf>
    <xf numFmtId="49" fontId="3" fillId="2" borderId="0" xfId="0" applyNumberFormat="1" applyFont="1" applyFill="1" applyBorder="1" applyAlignment="1">
      <alignment horizontal="left"/>
    </xf>
    <xf numFmtId="49" fontId="3" fillId="2" borderId="14" xfId="0" applyNumberFormat="1" applyFont="1" applyFill="1" applyBorder="1" applyAlignment="1"/>
    <xf numFmtId="0" fontId="3" fillId="2" borderId="18" xfId="0" applyFont="1" applyFill="1" applyBorder="1"/>
    <xf numFmtId="0" fontId="3" fillId="2" borderId="0" xfId="0" applyFont="1" applyFill="1" applyBorder="1"/>
    <xf numFmtId="49" fontId="3" fillId="2" borderId="0" xfId="0" applyNumberFormat="1" applyFont="1" applyFill="1" applyBorder="1"/>
    <xf numFmtId="49" fontId="3" fillId="2" borderId="14" xfId="0" applyNumberFormat="1" applyFont="1" applyFill="1" applyBorder="1"/>
    <xf numFmtId="0" fontId="3" fillId="2" borderId="43" xfId="0" applyFont="1" applyFill="1" applyBorder="1" applyAlignment="1" applyProtection="1">
      <alignment horizontal="left"/>
    </xf>
    <xf numFmtId="0" fontId="11" fillId="2" borderId="29" xfId="0" applyFont="1" applyFill="1" applyBorder="1"/>
    <xf numFmtId="49" fontId="3" fillId="2" borderId="29" xfId="0" applyNumberFormat="1" applyFont="1" applyFill="1" applyBorder="1" applyAlignment="1" applyProtection="1">
      <alignment horizontal="left"/>
    </xf>
    <xf numFmtId="49" fontId="5" fillId="2" borderId="29" xfId="0" applyNumberFormat="1" applyFont="1" applyFill="1" applyBorder="1"/>
    <xf numFmtId="49" fontId="3" fillId="2" borderId="31" xfId="0" applyNumberFormat="1" applyFont="1" applyFill="1" applyBorder="1"/>
    <xf numFmtId="0" fontId="2" fillId="2" borderId="50" xfId="0" quotePrefix="1" applyFont="1" applyFill="1" applyBorder="1" applyAlignment="1">
      <alignment horizontal="center" vertical="center"/>
    </xf>
    <xf numFmtId="2" fontId="0" fillId="2" borderId="54" xfId="0" applyNumberFormat="1" applyFill="1" applyBorder="1" applyAlignment="1">
      <alignment horizontal="center" vertical="center"/>
    </xf>
    <xf numFmtId="2" fontId="0" fillId="2" borderId="24" xfId="0" applyNumberFormat="1" applyFill="1" applyBorder="1" applyAlignment="1">
      <alignment horizontal="center" vertical="center"/>
    </xf>
    <xf numFmtId="2" fontId="9" fillId="2" borderId="12" xfId="0" applyNumberFormat="1" applyFont="1" applyFill="1" applyBorder="1" applyAlignment="1">
      <alignment horizontal="center" vertical="center"/>
    </xf>
    <xf numFmtId="2" fontId="9" fillId="2" borderId="21" xfId="0" applyNumberFormat="1" applyFont="1" applyFill="1" applyBorder="1" applyAlignment="1">
      <alignment horizontal="center" vertical="center"/>
    </xf>
    <xf numFmtId="2" fontId="9" fillId="2" borderId="24" xfId="0" applyNumberFormat="1" applyFont="1" applyFill="1" applyBorder="1" applyAlignment="1">
      <alignment horizontal="center" vertical="center"/>
    </xf>
    <xf numFmtId="0" fontId="0" fillId="2" borderId="41" xfId="0" applyFill="1" applyBorder="1"/>
    <xf numFmtId="2" fontId="12" fillId="2" borderId="51" xfId="0" applyNumberFormat="1" applyFont="1" applyFill="1" applyBorder="1" applyAlignment="1">
      <alignment horizontal="center" vertical="center"/>
    </xf>
    <xf numFmtId="0" fontId="2" fillId="2" borderId="0" xfId="0" applyFont="1" applyFill="1" applyAlignment="1">
      <alignment horizontal="right" vertical="center"/>
    </xf>
    <xf numFmtId="0" fontId="2" fillId="0" borderId="0" xfId="0" applyFont="1"/>
    <xf numFmtId="0" fontId="0" fillId="0" borderId="33" xfId="0" applyFill="1" applyBorder="1"/>
    <xf numFmtId="0" fontId="0" fillId="3" borderId="44" xfId="0" applyFill="1" applyBorder="1"/>
    <xf numFmtId="0" fontId="0" fillId="3" borderId="33" xfId="0" applyFill="1" applyBorder="1"/>
    <xf numFmtId="0" fontId="0" fillId="3" borderId="33" xfId="0" applyFill="1" applyBorder="1" applyAlignment="1">
      <alignment vertical="center"/>
    </xf>
    <xf numFmtId="0" fontId="2" fillId="3" borderId="35" xfId="0" applyFont="1" applyFill="1" applyBorder="1" applyAlignment="1">
      <alignment horizontal="right" vertical="center"/>
    </xf>
    <xf numFmtId="0" fontId="0" fillId="3" borderId="18" xfId="0" applyFill="1" applyBorder="1"/>
    <xf numFmtId="0" fontId="7" fillId="3" borderId="0" xfId="0" applyFont="1" applyFill="1" applyBorder="1" applyAlignment="1">
      <alignment horizontal="center" vertical="center"/>
    </xf>
    <xf numFmtId="0" fontId="7" fillId="3" borderId="14" xfId="0" applyFont="1" applyFill="1" applyBorder="1" applyAlignment="1">
      <alignment horizontal="center" vertical="center"/>
    </xf>
    <xf numFmtId="0" fontId="0" fillId="3" borderId="25" xfId="0" quotePrefix="1" applyFill="1" applyBorder="1" applyAlignment="1">
      <alignment horizontal="left" vertical="center"/>
    </xf>
    <xf numFmtId="166" fontId="0" fillId="3" borderId="0" xfId="0" applyNumberFormat="1" applyFill="1" applyBorder="1" applyAlignment="1">
      <alignment horizontal="center" vertical="center"/>
    </xf>
    <xf numFmtId="0" fontId="0" fillId="3" borderId="0" xfId="0" applyFill="1" applyBorder="1"/>
    <xf numFmtId="0" fontId="0" fillId="3" borderId="0" xfId="0" applyFill="1" applyBorder="1" applyAlignment="1">
      <alignment vertical="center"/>
    </xf>
    <xf numFmtId="0" fontId="0" fillId="3" borderId="14" xfId="0" applyFill="1" applyBorder="1" applyAlignment="1">
      <alignment vertical="center"/>
    </xf>
    <xf numFmtId="0" fontId="0" fillId="3" borderId="45" xfId="0" applyFill="1" applyBorder="1" applyAlignment="1">
      <alignment horizontal="left" vertical="center"/>
    </xf>
    <xf numFmtId="0" fontId="0" fillId="3" borderId="14" xfId="0" applyFill="1" applyBorder="1"/>
    <xf numFmtId="0" fontId="0" fillId="3" borderId="35" xfId="0" applyFill="1" applyBorder="1"/>
    <xf numFmtId="0" fontId="0" fillId="3" borderId="46" xfId="0" applyFill="1" applyBorder="1" applyAlignment="1">
      <alignment vertical="center"/>
    </xf>
    <xf numFmtId="0" fontId="0" fillId="3" borderId="47" xfId="0" applyFill="1" applyBorder="1" applyAlignment="1">
      <alignment vertical="center"/>
    </xf>
    <xf numFmtId="0" fontId="0" fillId="3" borderId="43" xfId="0" applyFill="1" applyBorder="1"/>
    <xf numFmtId="0" fontId="0" fillId="3" borderId="29" xfId="0" applyFill="1" applyBorder="1"/>
    <xf numFmtId="0" fontId="0" fillId="3" borderId="31" xfId="0" applyFill="1" applyBorder="1"/>
    <xf numFmtId="0" fontId="5" fillId="3" borderId="0" xfId="0" applyFont="1" applyFill="1" applyBorder="1" applyAlignment="1">
      <alignment horizontal="center" vertical="center"/>
    </xf>
    <xf numFmtId="0" fontId="0" fillId="3" borderId="25" xfId="0" applyFill="1" applyBorder="1" applyAlignment="1">
      <alignment horizontal="left" vertical="center"/>
    </xf>
    <xf numFmtId="0" fontId="0" fillId="3" borderId="44" xfId="0" applyFill="1" applyBorder="1" applyAlignment="1">
      <alignment horizontal="left" vertical="center"/>
    </xf>
    <xf numFmtId="0" fontId="0" fillId="3" borderId="0" xfId="0" applyFill="1" applyBorder="1" applyAlignment="1">
      <alignment horizontal="right" vertical="center"/>
    </xf>
    <xf numFmtId="0" fontId="0" fillId="3" borderId="14" xfId="0" applyFill="1" applyBorder="1" applyAlignment="1">
      <alignment horizontal="right" vertical="center"/>
    </xf>
    <xf numFmtId="0" fontId="0" fillId="3" borderId="18" xfId="0" applyFill="1" applyBorder="1" applyAlignment="1">
      <alignment vertical="center"/>
    </xf>
    <xf numFmtId="0" fontId="0" fillId="3" borderId="43" xfId="0" applyFill="1" applyBorder="1" applyAlignment="1">
      <alignment vertical="center"/>
    </xf>
    <xf numFmtId="2" fontId="5" fillId="3" borderId="0" xfId="0" applyNumberFormat="1" applyFont="1" applyFill="1" applyBorder="1" applyAlignment="1">
      <alignment horizontal="center" vertical="center"/>
    </xf>
    <xf numFmtId="0" fontId="0" fillId="3" borderId="44" xfId="0" applyFill="1" applyBorder="1" applyAlignment="1">
      <alignment horizontal="right"/>
    </xf>
    <xf numFmtId="0" fontId="0" fillId="3" borderId="0" xfId="0" applyFill="1" applyBorder="1" applyAlignment="1">
      <alignment horizontal="center" vertical="center"/>
    </xf>
    <xf numFmtId="0" fontId="0" fillId="3" borderId="43" xfId="0" applyFill="1" applyBorder="1" applyAlignment="1">
      <alignment horizontal="right"/>
    </xf>
    <xf numFmtId="0" fontId="0" fillId="3" borderId="0" xfId="0" applyFill="1" applyBorder="1" applyAlignment="1">
      <alignment horizontal="left" vertical="center"/>
    </xf>
    <xf numFmtId="166" fontId="0" fillId="3" borderId="50" xfId="0" applyNumberFormat="1" applyFill="1" applyBorder="1" applyAlignment="1">
      <alignment horizontal="center" vertical="center"/>
    </xf>
    <xf numFmtId="9" fontId="0" fillId="3" borderId="48" xfId="0" applyNumberFormat="1" applyFill="1" applyBorder="1" applyAlignment="1">
      <alignment horizontal="center" vertical="center"/>
    </xf>
    <xf numFmtId="9" fontId="0" fillId="3" borderId="49" xfId="0" applyNumberFormat="1" applyFill="1" applyBorder="1" applyAlignment="1">
      <alignment horizontal="center" vertical="center"/>
    </xf>
    <xf numFmtId="0" fontId="0" fillId="3" borderId="41" xfId="0" applyFill="1" applyBorder="1"/>
    <xf numFmtId="0" fontId="0" fillId="3" borderId="18" xfId="0" applyFill="1" applyBorder="1" applyAlignment="1">
      <alignment horizontal="right" vertical="center"/>
    </xf>
    <xf numFmtId="2" fontId="14" fillId="3" borderId="20" xfId="0" applyNumberFormat="1" applyFont="1" applyFill="1" applyBorder="1" applyAlignment="1">
      <alignment horizontal="center" vertical="center"/>
    </xf>
    <xf numFmtId="2" fontId="0" fillId="3" borderId="20" xfId="0" applyNumberFormat="1" applyFill="1" applyBorder="1" applyAlignment="1">
      <alignment horizontal="center" vertical="center"/>
    </xf>
    <xf numFmtId="2" fontId="9" fillId="3" borderId="12" xfId="0" applyNumberFormat="1" applyFont="1" applyFill="1" applyBorder="1" applyAlignment="1">
      <alignment horizontal="center" vertical="center"/>
    </xf>
    <xf numFmtId="0" fontId="0" fillId="3" borderId="18" xfId="0" quotePrefix="1" applyFill="1" applyBorder="1" applyAlignment="1">
      <alignment horizontal="right" vertical="center"/>
    </xf>
    <xf numFmtId="2" fontId="9" fillId="3" borderId="21" xfId="0" applyNumberFormat="1" applyFont="1" applyFill="1" applyBorder="1" applyAlignment="1">
      <alignment horizontal="center" vertical="center"/>
    </xf>
    <xf numFmtId="0" fontId="0" fillId="3" borderId="43" xfId="0" applyFill="1" applyBorder="1" applyAlignment="1">
      <alignment horizontal="right" vertical="center"/>
    </xf>
    <xf numFmtId="2" fontId="14" fillId="3" borderId="23" xfId="0" applyNumberFormat="1" applyFont="1" applyFill="1" applyBorder="1" applyAlignment="1">
      <alignment horizontal="center" vertical="center"/>
    </xf>
    <xf numFmtId="2" fontId="0" fillId="3" borderId="23" xfId="0" applyNumberFormat="1" applyFill="1" applyBorder="1" applyAlignment="1">
      <alignment horizontal="center" vertical="center"/>
    </xf>
    <xf numFmtId="2" fontId="9" fillId="3" borderId="24" xfId="0" applyNumberFormat="1" applyFont="1" applyFill="1" applyBorder="1" applyAlignment="1">
      <alignment horizontal="center" vertical="center"/>
    </xf>
    <xf numFmtId="2" fontId="0" fillId="3" borderId="0" xfId="0" applyNumberFormat="1" applyFill="1" applyBorder="1" applyAlignment="1">
      <alignment vertical="center"/>
    </xf>
    <xf numFmtId="0" fontId="3" fillId="3" borderId="44" xfId="0" applyFont="1" applyFill="1" applyBorder="1" applyAlignment="1">
      <alignment horizontal="right"/>
    </xf>
    <xf numFmtId="49" fontId="3" fillId="3" borderId="33" xfId="0" applyNumberFormat="1" applyFont="1" applyFill="1" applyBorder="1"/>
    <xf numFmtId="49" fontId="5" fillId="3" borderId="33" xfId="0" applyNumberFormat="1" applyFont="1" applyFill="1" applyBorder="1" applyAlignment="1" applyProtection="1">
      <alignment horizontal="left"/>
    </xf>
    <xf numFmtId="49" fontId="3" fillId="3" borderId="35" xfId="0" applyNumberFormat="1" applyFont="1" applyFill="1" applyBorder="1"/>
    <xf numFmtId="0" fontId="3" fillId="3" borderId="18" xfId="0" applyFont="1" applyFill="1" applyBorder="1" applyAlignment="1">
      <alignment horizontal="right"/>
    </xf>
    <xf numFmtId="0" fontId="3" fillId="3" borderId="18" xfId="0" applyFont="1" applyFill="1" applyBorder="1"/>
    <xf numFmtId="0" fontId="3" fillId="3" borderId="43" xfId="0" applyFont="1" applyFill="1" applyBorder="1" applyAlignment="1" applyProtection="1">
      <alignment horizontal="left"/>
    </xf>
    <xf numFmtId="0" fontId="0" fillId="3" borderId="29" xfId="0" applyFill="1" applyBorder="1" applyAlignment="1">
      <alignment vertical="center"/>
    </xf>
    <xf numFmtId="0" fontId="0" fillId="3" borderId="31" xfId="0" applyFill="1" applyBorder="1" applyAlignment="1">
      <alignment vertical="center"/>
    </xf>
    <xf numFmtId="0" fontId="0" fillId="0" borderId="43" xfId="0" applyFill="1" applyBorder="1"/>
    <xf numFmtId="0" fontId="0" fillId="0" borderId="29" xfId="0" applyFill="1" applyBorder="1"/>
    <xf numFmtId="1" fontId="0" fillId="0" borderId="51" xfId="0" applyNumberFormat="1" applyFill="1" applyBorder="1" applyAlignment="1">
      <alignment horizontal="center" vertical="center"/>
    </xf>
    <xf numFmtId="0" fontId="0" fillId="4" borderId="18" xfId="0" quotePrefix="1" applyFill="1" applyBorder="1" applyAlignment="1">
      <alignment horizontal="left" vertical="center"/>
    </xf>
    <xf numFmtId="0" fontId="0" fillId="4" borderId="10" xfId="0" quotePrefix="1" applyFill="1" applyBorder="1" applyAlignment="1">
      <alignment horizontal="left" vertical="center"/>
    </xf>
    <xf numFmtId="0" fontId="0" fillId="4" borderId="0" xfId="0" applyFill="1" applyAlignment="1">
      <alignment vertical="center"/>
    </xf>
    <xf numFmtId="0" fontId="0" fillId="4" borderId="44" xfId="0" applyFill="1" applyBorder="1" applyAlignment="1">
      <alignment vertical="center"/>
    </xf>
    <xf numFmtId="0" fontId="0" fillId="4" borderId="34" xfId="0" applyFill="1" applyBorder="1" applyAlignment="1">
      <alignment horizontal="center" vertical="center"/>
    </xf>
    <xf numFmtId="0" fontId="0" fillId="4" borderId="13" xfId="0" quotePrefix="1" applyFill="1" applyBorder="1" applyAlignment="1">
      <alignment horizontal="center" vertical="center"/>
    </xf>
    <xf numFmtId="0" fontId="0" fillId="4" borderId="11" xfId="0" quotePrefix="1" applyFill="1" applyBorder="1" applyAlignment="1">
      <alignment horizontal="center" vertical="center"/>
    </xf>
    <xf numFmtId="0" fontId="0" fillId="4" borderId="13" xfId="0" applyFill="1" applyBorder="1" applyAlignment="1">
      <alignment vertical="center"/>
    </xf>
    <xf numFmtId="0" fontId="0" fillId="4" borderId="43" xfId="0" quotePrefix="1" applyFill="1" applyBorder="1" applyAlignment="1">
      <alignment horizontal="left" vertical="center"/>
    </xf>
    <xf numFmtId="0" fontId="0" fillId="4" borderId="39" xfId="0" applyFill="1" applyBorder="1" applyAlignment="1">
      <alignment vertical="center"/>
    </xf>
    <xf numFmtId="0" fontId="3" fillId="5" borderId="6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3" fillId="5" borderId="55" xfId="0" applyFont="1" applyFill="1" applyBorder="1" applyAlignment="1">
      <alignment horizontal="center" vertical="center"/>
    </xf>
    <xf numFmtId="2" fontId="3" fillId="5" borderId="55" xfId="0" applyNumberFormat="1" applyFont="1" applyFill="1" applyBorder="1" applyAlignment="1">
      <alignment horizontal="center" vertical="center"/>
    </xf>
    <xf numFmtId="2" fontId="3" fillId="5" borderId="56" xfId="0" applyNumberFormat="1" applyFont="1" applyFill="1" applyBorder="1" applyAlignment="1">
      <alignment horizontal="center" vertical="center"/>
    </xf>
    <xf numFmtId="0" fontId="0" fillId="5" borderId="0" xfId="0" applyFill="1" applyAlignment="1">
      <alignment vertical="center"/>
    </xf>
    <xf numFmtId="0" fontId="3" fillId="5" borderId="35" xfId="0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2" fontId="3" fillId="5" borderId="14" xfId="0" applyNumberFormat="1" applyFont="1" applyFill="1" applyBorder="1" applyAlignment="1">
      <alignment horizontal="center" vertical="center"/>
    </xf>
    <xf numFmtId="2" fontId="3" fillId="5" borderId="3" xfId="0" applyNumberFormat="1" applyFont="1" applyFill="1" applyBorder="1" applyAlignment="1">
      <alignment horizontal="center" vertical="center"/>
    </xf>
    <xf numFmtId="2" fontId="3" fillId="5" borderId="57" xfId="0" applyNumberFormat="1" applyFont="1" applyFill="1" applyBorder="1" applyAlignment="1">
      <alignment horizontal="center" vertical="center"/>
    </xf>
    <xf numFmtId="0" fontId="0" fillId="6" borderId="44" xfId="0" quotePrefix="1" applyFill="1" applyBorder="1" applyAlignment="1">
      <alignment horizontal="left" vertical="center"/>
    </xf>
    <xf numFmtId="0" fontId="0" fillId="6" borderId="17" xfId="0" quotePrefix="1" applyFill="1" applyBorder="1" applyAlignment="1">
      <alignment horizontal="left" vertical="center"/>
    </xf>
    <xf numFmtId="0" fontId="0" fillId="6" borderId="18" xfId="0" applyFill="1" applyBorder="1" applyAlignment="1">
      <alignment vertical="center"/>
    </xf>
    <xf numFmtId="0" fontId="0" fillId="6" borderId="10" xfId="0" applyFill="1" applyBorder="1" applyAlignment="1">
      <alignment vertical="center"/>
    </xf>
    <xf numFmtId="0" fontId="0" fillId="6" borderId="19" xfId="0" quotePrefix="1" applyFill="1" applyBorder="1" applyAlignment="1">
      <alignment horizontal="left" vertical="center"/>
    </xf>
    <xf numFmtId="0" fontId="0" fillId="6" borderId="17" xfId="0" applyFill="1" applyBorder="1" applyAlignment="1">
      <alignment horizontal="left" vertical="center"/>
    </xf>
    <xf numFmtId="0" fontId="0" fillId="6" borderId="58" xfId="0" applyFill="1" applyBorder="1" applyAlignment="1">
      <alignment horizontal="left" vertical="center"/>
    </xf>
    <xf numFmtId="0" fontId="0" fillId="6" borderId="59" xfId="0" applyFill="1" applyBorder="1" applyAlignment="1">
      <alignment horizontal="left" vertical="center"/>
    </xf>
    <xf numFmtId="0" fontId="0" fillId="6" borderId="0" xfId="0" applyFill="1" applyBorder="1" applyAlignment="1">
      <alignment vertical="center"/>
    </xf>
    <xf numFmtId="0" fontId="0" fillId="6" borderId="32" xfId="0" applyFill="1" applyBorder="1" applyAlignment="1">
      <alignment vertical="center"/>
    </xf>
    <xf numFmtId="0" fontId="0" fillId="6" borderId="4" xfId="0" quotePrefix="1" applyFill="1" applyBorder="1" applyAlignment="1">
      <alignment horizontal="left" vertical="center"/>
    </xf>
    <xf numFmtId="0" fontId="0" fillId="6" borderId="4" xfId="0" applyFill="1" applyBorder="1" applyAlignment="1">
      <alignment vertical="center"/>
    </xf>
    <xf numFmtId="0" fontId="0" fillId="6" borderId="5" xfId="0" quotePrefix="1" applyFill="1" applyBorder="1" applyAlignment="1">
      <alignment horizontal="left" vertical="center"/>
    </xf>
    <xf numFmtId="0" fontId="0" fillId="6" borderId="60" xfId="0" quotePrefix="1" applyFill="1" applyBorder="1" applyAlignment="1">
      <alignment horizontal="left" vertical="center"/>
    </xf>
    <xf numFmtId="0" fontId="3" fillId="7" borderId="61" xfId="0" applyFont="1" applyFill="1" applyBorder="1" applyAlignment="1">
      <alignment horizontal="center" vertical="center"/>
    </xf>
    <xf numFmtId="0" fontId="3" fillId="7" borderId="6" xfId="0" applyFont="1" applyFill="1" applyBorder="1" applyAlignment="1">
      <alignment horizontal="center" vertical="center"/>
    </xf>
    <xf numFmtId="1" fontId="3" fillId="7" borderId="6" xfId="0" applyNumberFormat="1" applyFont="1" applyFill="1" applyBorder="1" applyAlignment="1">
      <alignment horizontal="center" vertical="center"/>
    </xf>
    <xf numFmtId="2" fontId="3" fillId="7" borderId="6" xfId="0" applyNumberFormat="1" applyFont="1" applyFill="1" applyBorder="1" applyAlignment="1">
      <alignment horizontal="center" vertical="center"/>
    </xf>
    <xf numFmtId="0" fontId="3" fillId="7" borderId="34" xfId="0" applyFont="1" applyFill="1" applyBorder="1" applyAlignment="1">
      <alignment horizontal="center" vertical="center"/>
    </xf>
    <xf numFmtId="0" fontId="3" fillId="7" borderId="33" xfId="0" applyFont="1" applyFill="1" applyBorder="1" applyAlignment="1">
      <alignment horizontal="center" vertical="center"/>
    </xf>
    <xf numFmtId="0" fontId="3" fillId="7" borderId="2" xfId="0" applyFont="1" applyFill="1" applyBorder="1" applyAlignment="1">
      <alignment horizontal="center" vertical="center"/>
    </xf>
    <xf numFmtId="0" fontId="3" fillId="7" borderId="3" xfId="0" applyFont="1" applyFill="1" applyBorder="1" applyAlignment="1">
      <alignment horizontal="center" vertical="center"/>
    </xf>
    <xf numFmtId="0" fontId="3" fillId="7" borderId="5" xfId="0" applyFont="1" applyFill="1" applyBorder="1" applyAlignment="1">
      <alignment horizontal="center" vertical="center"/>
    </xf>
    <xf numFmtId="0" fontId="3" fillId="7" borderId="8" xfId="0" applyFont="1" applyFill="1" applyBorder="1" applyAlignment="1">
      <alignment horizontal="center" vertical="center"/>
    </xf>
    <xf numFmtId="0" fontId="3" fillId="7" borderId="9" xfId="0" applyFont="1" applyFill="1" applyBorder="1" applyAlignment="1">
      <alignment horizontal="center" vertical="center"/>
    </xf>
    <xf numFmtId="0" fontId="3" fillId="7" borderId="15" xfId="0" applyFont="1" applyFill="1" applyBorder="1" applyAlignment="1">
      <alignment horizontal="center" vertical="center"/>
    </xf>
    <xf numFmtId="0" fontId="3" fillId="7" borderId="27" xfId="0" applyFont="1" applyFill="1" applyBorder="1" applyAlignment="1">
      <alignment horizontal="center" vertical="center"/>
    </xf>
    <xf numFmtId="2" fontId="3" fillId="7" borderId="41" xfId="0" applyNumberFormat="1" applyFont="1" applyFill="1" applyBorder="1" applyAlignment="1">
      <alignment horizontal="center" vertical="center"/>
    </xf>
    <xf numFmtId="2" fontId="3" fillId="7" borderId="62" xfId="0" applyNumberFormat="1" applyFont="1" applyFill="1" applyBorder="1" applyAlignment="1">
      <alignment horizontal="center" vertical="center"/>
    </xf>
    <xf numFmtId="2" fontId="3" fillId="7" borderId="23" xfId="0" applyNumberFormat="1" applyFont="1" applyFill="1" applyBorder="1" applyAlignment="1">
      <alignment horizontal="center" vertical="center"/>
    </xf>
    <xf numFmtId="2" fontId="3" fillId="7" borderId="56" xfId="0" applyNumberFormat="1" applyFont="1" applyFill="1" applyBorder="1" applyAlignment="1">
      <alignment horizontal="center" vertical="center"/>
    </xf>
    <xf numFmtId="0" fontId="3" fillId="8" borderId="32" xfId="0" quotePrefix="1" applyFont="1" applyFill="1" applyBorder="1" applyAlignment="1">
      <alignment horizontal="left" vertical="center"/>
    </xf>
    <xf numFmtId="0" fontId="3" fillId="8" borderId="34" xfId="0" applyFont="1" applyFill="1" applyBorder="1" applyAlignment="1">
      <alignment horizontal="center" vertical="center"/>
    </xf>
    <xf numFmtId="0" fontId="3" fillId="8" borderId="63" xfId="0" quotePrefix="1" applyFont="1" applyFill="1" applyBorder="1" applyAlignment="1">
      <alignment horizontal="left" vertical="center"/>
    </xf>
    <xf numFmtId="0" fontId="3" fillId="8" borderId="59" xfId="0" applyFont="1" applyFill="1" applyBorder="1" applyAlignment="1">
      <alignment horizontal="left" vertical="center"/>
    </xf>
    <xf numFmtId="0" fontId="3" fillId="8" borderId="7" xfId="0" applyFont="1" applyFill="1" applyBorder="1" applyAlignment="1">
      <alignment horizontal="left" vertical="center"/>
    </xf>
    <xf numFmtId="0" fontId="3" fillId="8" borderId="13" xfId="0" quotePrefix="1" applyFont="1" applyFill="1" applyBorder="1" applyAlignment="1">
      <alignment horizontal="center" vertical="center"/>
    </xf>
    <xf numFmtId="0" fontId="3" fillId="8" borderId="11" xfId="0" quotePrefix="1" applyFont="1" applyFill="1" applyBorder="1" applyAlignment="1">
      <alignment horizontal="center" vertical="center"/>
    </xf>
    <xf numFmtId="0" fontId="3" fillId="8" borderId="15" xfId="0" applyFont="1" applyFill="1" applyBorder="1" applyAlignment="1">
      <alignment horizontal="center" vertical="center"/>
    </xf>
    <xf numFmtId="0" fontId="3" fillId="8" borderId="39" xfId="0" applyFont="1" applyFill="1" applyBorder="1" applyAlignment="1">
      <alignment horizontal="center" vertical="center"/>
    </xf>
    <xf numFmtId="0" fontId="3" fillId="9" borderId="34" xfId="0" applyFont="1" applyFill="1" applyBorder="1" applyAlignment="1">
      <alignment horizontal="center" vertical="center"/>
    </xf>
    <xf numFmtId="0" fontId="3" fillId="9" borderId="33" xfId="0" applyFont="1" applyFill="1" applyBorder="1" applyAlignment="1">
      <alignment horizontal="center" vertical="center"/>
    </xf>
    <xf numFmtId="0" fontId="3" fillId="9" borderId="61" xfId="0" applyFont="1" applyFill="1" applyBorder="1" applyAlignment="1">
      <alignment horizontal="center" vertical="center"/>
    </xf>
    <xf numFmtId="0" fontId="3" fillId="9" borderId="9" xfId="0" applyFont="1" applyFill="1" applyBorder="1" applyAlignment="1">
      <alignment horizontal="center" vertical="center"/>
    </xf>
    <xf numFmtId="0" fontId="3" fillId="9" borderId="23" xfId="0" applyFont="1" applyFill="1" applyBorder="1" applyAlignment="1">
      <alignment horizontal="center" vertical="center"/>
    </xf>
    <xf numFmtId="0" fontId="3" fillId="9" borderId="64" xfId="0" applyFont="1" applyFill="1" applyBorder="1" applyAlignment="1">
      <alignment horizontal="center" vertical="center"/>
    </xf>
    <xf numFmtId="0" fontId="3" fillId="9" borderId="56" xfId="0" applyFont="1" applyFill="1" applyBorder="1" applyAlignment="1">
      <alignment horizontal="center" vertical="center"/>
    </xf>
    <xf numFmtId="2" fontId="3" fillId="9" borderId="11" xfId="0" applyNumberFormat="1" applyFont="1" applyFill="1" applyBorder="1" applyAlignment="1">
      <alignment horizontal="center" vertical="center"/>
    </xf>
    <xf numFmtId="2" fontId="3" fillId="9" borderId="9" xfId="0" applyNumberFormat="1" applyFont="1" applyFill="1" applyBorder="1" applyAlignment="1">
      <alignment horizontal="center" vertical="center"/>
    </xf>
    <xf numFmtId="2" fontId="3" fillId="9" borderId="23" xfId="0" applyNumberFormat="1" applyFont="1" applyFill="1" applyBorder="1" applyAlignment="1">
      <alignment horizontal="center" vertical="center"/>
    </xf>
    <xf numFmtId="2" fontId="3" fillId="9" borderId="56" xfId="0" applyNumberFormat="1" applyFont="1" applyFill="1" applyBorder="1" applyAlignment="1">
      <alignment horizontal="center" vertical="center"/>
    </xf>
    <xf numFmtId="0" fontId="3" fillId="9" borderId="35" xfId="0" applyFont="1" applyFill="1" applyBorder="1" applyAlignment="1">
      <alignment horizontal="center" vertical="center"/>
    </xf>
    <xf numFmtId="0" fontId="3" fillId="9" borderId="14" xfId="0" applyFont="1" applyFill="1" applyBorder="1" applyAlignment="1">
      <alignment horizontal="center" vertical="center"/>
    </xf>
    <xf numFmtId="2" fontId="3" fillId="9" borderId="14" xfId="0" applyNumberFormat="1" applyFont="1" applyFill="1" applyBorder="1" applyAlignment="1">
      <alignment horizontal="center" vertical="center"/>
    </xf>
    <xf numFmtId="2" fontId="3" fillId="9" borderId="12" xfId="0" applyNumberFormat="1" applyFont="1" applyFill="1" applyBorder="1" applyAlignment="1">
      <alignment horizontal="center" vertical="center"/>
    </xf>
    <xf numFmtId="2" fontId="3" fillId="9" borderId="16" xfId="0" applyNumberFormat="1" applyFont="1" applyFill="1" applyBorder="1" applyAlignment="1">
      <alignment horizontal="center" vertical="center"/>
    </xf>
    <xf numFmtId="2" fontId="3" fillId="9" borderId="31" xfId="0" applyNumberFormat="1" applyFont="1" applyFill="1" applyBorder="1" applyAlignment="1">
      <alignment horizontal="center" vertical="center"/>
    </xf>
    <xf numFmtId="0" fontId="13" fillId="10" borderId="50" xfId="0" quotePrefix="1" applyFont="1" applyFill="1" applyBorder="1" applyAlignment="1">
      <alignment horizontal="center" vertical="center"/>
    </xf>
    <xf numFmtId="0" fontId="15" fillId="2" borderId="0" xfId="0" applyFont="1" applyFill="1" applyAlignment="1">
      <alignment vertical="center"/>
    </xf>
    <xf numFmtId="0" fontId="16" fillId="2" borderId="0" xfId="0" applyFont="1" applyFill="1"/>
    <xf numFmtId="0" fontId="1" fillId="0" borderId="14" xfId="0" applyFont="1" applyFill="1" applyBorder="1"/>
    <xf numFmtId="0" fontId="1" fillId="0" borderId="35" xfId="0" applyFont="1" applyFill="1" applyBorder="1"/>
    <xf numFmtId="0" fontId="1" fillId="0" borderId="31" xfId="0" applyFont="1" applyFill="1" applyBorder="1"/>
    <xf numFmtId="0" fontId="3" fillId="0" borderId="18" xfId="0" applyFont="1" applyBorder="1"/>
    <xf numFmtId="0" fontId="0" fillId="3" borderId="46" xfId="0" applyFill="1" applyBorder="1" applyAlignment="1">
      <alignment horizontal="left" vertical="center"/>
    </xf>
    <xf numFmtId="0" fontId="0" fillId="0" borderId="52" xfId="0" applyBorder="1"/>
    <xf numFmtId="0" fontId="0" fillId="0" borderId="25" xfId="0" applyBorder="1"/>
    <xf numFmtId="0" fontId="2" fillId="0" borderId="0" xfId="0" applyFont="1" applyFill="1"/>
    <xf numFmtId="0" fontId="0" fillId="4" borderId="19" xfId="0" applyFill="1" applyBorder="1" applyAlignment="1">
      <alignment horizontal="left" vertical="center"/>
    </xf>
    <xf numFmtId="0" fontId="0" fillId="4" borderId="42" xfId="0" applyFill="1" applyBorder="1" applyAlignment="1">
      <alignment horizontal="left" vertical="center"/>
    </xf>
    <xf numFmtId="0" fontId="0" fillId="4" borderId="22" xfId="0" applyFill="1" applyBorder="1" applyAlignment="1">
      <alignment horizontal="left" vertical="center"/>
    </xf>
    <xf numFmtId="0" fontId="0" fillId="4" borderId="54" xfId="0" applyFill="1" applyBorder="1" applyAlignment="1">
      <alignment horizontal="left" vertical="center"/>
    </xf>
    <xf numFmtId="0" fontId="0" fillId="4" borderId="17" xfId="0" quotePrefix="1" applyFill="1" applyBorder="1" applyAlignment="1">
      <alignment horizontal="left" vertical="center"/>
    </xf>
    <xf numFmtId="0" fontId="0" fillId="4" borderId="65" xfId="0" quotePrefix="1" applyFill="1" applyBorder="1" applyAlignment="1">
      <alignment horizontal="left" vertical="center"/>
    </xf>
    <xf numFmtId="0" fontId="0" fillId="4" borderId="38" xfId="0" quotePrefix="1" applyFill="1" applyBorder="1" applyAlignment="1">
      <alignment horizontal="left" vertical="center"/>
    </xf>
    <xf numFmtId="0" fontId="0" fillId="4" borderId="36" xfId="0" quotePrefix="1" applyFill="1" applyBorder="1" applyAlignment="1">
      <alignment horizontal="left" vertical="center"/>
    </xf>
    <xf numFmtId="0" fontId="6" fillId="4" borderId="25" xfId="0" applyFont="1" applyFill="1" applyBorder="1" applyAlignment="1">
      <alignment horizontal="center" vertical="center"/>
    </xf>
    <xf numFmtId="0" fontId="0" fillId="4" borderId="19" xfId="0" quotePrefix="1" applyFill="1" applyBorder="1" applyAlignment="1">
      <alignment horizontal="left" vertical="center"/>
    </xf>
    <xf numFmtId="0" fontId="0" fillId="4" borderId="42" xfId="0" quotePrefix="1" applyFill="1" applyBorder="1" applyAlignment="1">
      <alignment horizontal="left" vertical="center"/>
    </xf>
    <xf numFmtId="0" fontId="0" fillId="4" borderId="37" xfId="0" applyFill="1" applyBorder="1" applyAlignment="1">
      <alignment horizontal="left" vertical="center"/>
    </xf>
    <xf numFmtId="0" fontId="3" fillId="8" borderId="17" xfId="0" quotePrefix="1" applyFont="1" applyFill="1" applyBorder="1" applyAlignment="1">
      <alignment horizontal="left" vertical="center"/>
    </xf>
    <xf numFmtId="0" fontId="3" fillId="8" borderId="27" xfId="0" quotePrefix="1" applyFont="1" applyFill="1" applyBorder="1" applyAlignment="1">
      <alignment horizontal="left" vertical="center"/>
    </xf>
    <xf numFmtId="0" fontId="3" fillId="8" borderId="65" xfId="0" quotePrefix="1" applyFont="1" applyFill="1" applyBorder="1" applyAlignment="1">
      <alignment horizontal="left" vertical="center"/>
    </xf>
    <xf numFmtId="0" fontId="3" fillId="8" borderId="43" xfId="0" quotePrefix="1" applyFont="1" applyFill="1" applyBorder="1" applyAlignment="1">
      <alignment horizontal="left" vertical="center"/>
    </xf>
    <xf numFmtId="0" fontId="3" fillId="8" borderId="29" xfId="0" quotePrefix="1" applyFont="1" applyFill="1" applyBorder="1" applyAlignment="1">
      <alignment horizontal="left" vertical="center"/>
    </xf>
    <xf numFmtId="0" fontId="3" fillId="8" borderId="67" xfId="0" quotePrefix="1" applyFont="1" applyFill="1" applyBorder="1" applyAlignment="1">
      <alignment horizontal="left" vertical="center"/>
    </xf>
    <xf numFmtId="0" fontId="3" fillId="8" borderId="44" xfId="0" quotePrefix="1" applyFont="1" applyFill="1" applyBorder="1" applyAlignment="1">
      <alignment horizontal="left" vertical="center"/>
    </xf>
    <xf numFmtId="0" fontId="3" fillId="8" borderId="33" xfId="0" quotePrefix="1" applyFont="1" applyFill="1" applyBorder="1" applyAlignment="1">
      <alignment horizontal="left" vertical="center"/>
    </xf>
    <xf numFmtId="0" fontId="3" fillId="8" borderId="68" xfId="0" quotePrefix="1" applyFont="1" applyFill="1" applyBorder="1" applyAlignment="1">
      <alignment horizontal="left" vertical="center"/>
    </xf>
    <xf numFmtId="0" fontId="3" fillId="8" borderId="18" xfId="0" quotePrefix="1" applyFont="1" applyFill="1" applyBorder="1" applyAlignment="1">
      <alignment horizontal="left" vertical="center"/>
    </xf>
    <xf numFmtId="0" fontId="3" fillId="8" borderId="0" xfId="0" quotePrefix="1" applyFont="1" applyFill="1" applyBorder="1" applyAlignment="1">
      <alignment horizontal="left" vertical="center"/>
    </xf>
    <xf numFmtId="0" fontId="3" fillId="8" borderId="38" xfId="0" quotePrefix="1" applyFont="1" applyFill="1" applyBorder="1" applyAlignment="1">
      <alignment horizontal="left" vertical="center"/>
    </xf>
    <xf numFmtId="0" fontId="3" fillId="8" borderId="18" xfId="0" applyFont="1" applyFill="1" applyBorder="1" applyAlignment="1">
      <alignment horizontal="left" vertical="center"/>
    </xf>
    <xf numFmtId="0" fontId="3" fillId="8" borderId="0" xfId="0" applyFont="1" applyFill="1" applyBorder="1" applyAlignment="1">
      <alignment horizontal="left" vertical="center"/>
    </xf>
    <xf numFmtId="0" fontId="3" fillId="8" borderId="38" xfId="0" applyFont="1" applyFill="1" applyBorder="1" applyAlignment="1">
      <alignment horizontal="left" vertical="center"/>
    </xf>
    <xf numFmtId="0" fontId="0" fillId="0" borderId="34" xfId="0" applyFill="1" applyBorder="1" applyAlignment="1">
      <alignment horizontal="center" vertical="center"/>
    </xf>
    <xf numFmtId="0" fontId="0" fillId="0" borderId="11" xfId="0" applyFill="1" applyBorder="1" applyAlignment="1">
      <alignment horizontal="center" vertical="center"/>
    </xf>
    <xf numFmtId="165" fontId="3" fillId="0" borderId="69" xfId="0" applyNumberFormat="1" applyFont="1" applyFill="1" applyBorder="1" applyAlignment="1">
      <alignment horizontal="center" vertical="center"/>
    </xf>
    <xf numFmtId="165" fontId="3" fillId="0" borderId="48" xfId="0" applyNumberFormat="1" applyFont="1" applyFill="1" applyBorder="1" applyAlignment="1">
      <alignment horizontal="center" vertical="center"/>
    </xf>
    <xf numFmtId="0" fontId="0" fillId="0" borderId="25" xfId="0" applyFill="1" applyBorder="1" applyAlignment="1">
      <alignment horizontal="center" vertical="center"/>
    </xf>
    <xf numFmtId="0" fontId="0" fillId="0" borderId="52" xfId="0" applyFill="1" applyBorder="1" applyAlignment="1">
      <alignment horizontal="center" vertical="center"/>
    </xf>
    <xf numFmtId="0" fontId="0" fillId="0" borderId="53" xfId="0" applyFill="1" applyBorder="1" applyAlignment="1">
      <alignment horizontal="center" vertical="center"/>
    </xf>
    <xf numFmtId="167" fontId="3" fillId="0" borderId="5" xfId="0" applyNumberFormat="1" applyFont="1" applyFill="1" applyBorder="1" applyAlignment="1">
      <alignment horizontal="center" vertical="center"/>
    </xf>
    <xf numFmtId="167" fontId="3" fillId="0" borderId="0" xfId="0" applyNumberFormat="1" applyFont="1" applyFill="1" applyBorder="1" applyAlignment="1">
      <alignment horizontal="center" vertical="center"/>
    </xf>
    <xf numFmtId="167" fontId="3" fillId="0" borderId="65" xfId="0" applyNumberFormat="1" applyFont="1" applyFill="1" applyBorder="1" applyAlignment="1">
      <alignment horizontal="center" vertical="center"/>
    </xf>
    <xf numFmtId="165" fontId="3" fillId="0" borderId="8" xfId="0" applyNumberFormat="1" applyFont="1" applyFill="1" applyBorder="1" applyAlignment="1">
      <alignment horizontal="center" vertical="center"/>
    </xf>
    <xf numFmtId="0" fontId="3" fillId="0" borderId="66" xfId="0" applyFont="1" applyFill="1" applyBorder="1" applyAlignment="1">
      <alignment horizontal="center" vertical="center"/>
    </xf>
    <xf numFmtId="0" fontId="3" fillId="0" borderId="21" xfId="0" applyFont="1" applyFill="1" applyBorder="1" applyAlignment="1">
      <alignment horizontal="center" vertical="center"/>
    </xf>
    <xf numFmtId="165" fontId="3" fillId="0" borderId="70" xfId="0" applyNumberFormat="1" applyFont="1" applyFill="1" applyBorder="1" applyAlignment="1">
      <alignment horizontal="center" vertical="center"/>
    </xf>
    <xf numFmtId="165" fontId="3" fillId="0" borderId="64" xfId="0" applyNumberFormat="1" applyFont="1" applyFill="1" applyBorder="1" applyAlignment="1">
      <alignment horizontal="center" vertical="center"/>
    </xf>
    <xf numFmtId="167" fontId="3" fillId="0" borderId="8" xfId="0" applyNumberFormat="1" applyFont="1" applyFill="1" applyBorder="1" applyAlignment="1">
      <alignment horizontal="center" vertical="center"/>
    </xf>
    <xf numFmtId="167" fontId="3" fillId="0" borderId="26" xfId="0" applyNumberFormat="1" applyFont="1" applyFill="1" applyBorder="1" applyAlignment="1">
      <alignment horizontal="center" vertical="center"/>
    </xf>
    <xf numFmtId="165" fontId="3" fillId="0" borderId="26" xfId="0" applyNumberFormat="1" applyFont="1" applyFill="1" applyBorder="1" applyAlignment="1">
      <alignment horizontal="center" vertical="center"/>
    </xf>
    <xf numFmtId="166" fontId="3" fillId="0" borderId="30" xfId="0" applyNumberFormat="1" applyFont="1" applyFill="1" applyBorder="1" applyAlignment="1">
      <alignment horizontal="center" vertical="center"/>
    </xf>
    <xf numFmtId="166" fontId="3" fillId="0" borderId="29" xfId="0" applyNumberFormat="1" applyFont="1" applyFill="1" applyBorder="1" applyAlignment="1">
      <alignment horizontal="center" vertical="center"/>
    </xf>
    <xf numFmtId="166" fontId="3" fillId="0" borderId="31" xfId="0" applyNumberFormat="1" applyFont="1" applyFill="1" applyBorder="1" applyAlignment="1">
      <alignment horizontal="center" vertical="center"/>
    </xf>
    <xf numFmtId="166" fontId="3" fillId="0" borderId="2" xfId="0" applyNumberFormat="1" applyFont="1" applyFill="1" applyBorder="1" applyAlignment="1">
      <alignment horizontal="center" vertical="center"/>
    </xf>
    <xf numFmtId="166" fontId="3" fillId="0" borderId="27" xfId="0" applyNumberFormat="1" applyFont="1" applyFill="1" applyBorder="1" applyAlignment="1">
      <alignment horizontal="center" vertical="center"/>
    </xf>
    <xf numFmtId="167" fontId="3" fillId="0" borderId="27" xfId="0" applyNumberFormat="1" applyFont="1" applyFill="1" applyBorder="1" applyAlignment="1">
      <alignment horizontal="center" vertical="center"/>
    </xf>
    <xf numFmtId="165" fontId="3" fillId="0" borderId="0" xfId="0" applyNumberFormat="1" applyFont="1" applyFill="1" applyBorder="1" applyAlignment="1">
      <alignment horizontal="center" vertical="center"/>
    </xf>
    <xf numFmtId="0" fontId="3" fillId="7" borderId="11" xfId="0" applyFont="1" applyFill="1" applyBorder="1" applyAlignment="1">
      <alignment horizontal="center" vertical="center"/>
    </xf>
    <xf numFmtId="0" fontId="3" fillId="7" borderId="26" xfId="0" applyFont="1" applyFill="1" applyBorder="1" applyAlignment="1">
      <alignment horizontal="center" vertical="center"/>
    </xf>
    <xf numFmtId="0" fontId="3" fillId="7" borderId="13" xfId="0" applyFont="1" applyFill="1" applyBorder="1" applyAlignment="1">
      <alignment horizontal="center" vertical="center"/>
    </xf>
    <xf numFmtId="0" fontId="3" fillId="8" borderId="18" xfId="0" applyFont="1" applyFill="1" applyBorder="1" applyAlignment="1">
      <alignment vertical="center"/>
    </xf>
    <xf numFmtId="0" fontId="3" fillId="8" borderId="10" xfId="0" applyFont="1" applyFill="1" applyBorder="1" applyAlignment="1">
      <alignment vertical="center"/>
    </xf>
    <xf numFmtId="0" fontId="3" fillId="9" borderId="11" xfId="0" applyFont="1" applyFill="1" applyBorder="1" applyAlignment="1">
      <alignment horizontal="center" vertical="center"/>
    </xf>
    <xf numFmtId="0" fontId="3" fillId="9" borderId="26" xfId="0" applyFont="1" applyFill="1" applyBorder="1" applyAlignment="1">
      <alignment horizontal="center" vertical="center"/>
    </xf>
    <xf numFmtId="0" fontId="3" fillId="0" borderId="0" xfId="0" applyNumberFormat="1" applyFont="1" applyFill="1" applyBorder="1" applyAlignment="1">
      <alignment horizontal="center" vertical="center"/>
    </xf>
    <xf numFmtId="0" fontId="3" fillId="0" borderId="20" xfId="0" applyNumberFormat="1" applyFont="1" applyFill="1" applyBorder="1" applyAlignment="1">
      <alignment horizontal="center" vertical="center"/>
    </xf>
    <xf numFmtId="0" fontId="0" fillId="0" borderId="33" xfId="0" applyBorder="1"/>
    <xf numFmtId="0" fontId="0" fillId="0" borderId="35" xfId="0" applyBorder="1"/>
    <xf numFmtId="0" fontId="3" fillId="0" borderId="50" xfId="0" quotePrefix="1" applyFont="1" applyFill="1" applyBorder="1" applyAlignment="1">
      <alignment horizontal="center" vertical="center" wrapText="1"/>
    </xf>
    <xf numFmtId="164" fontId="3" fillId="0" borderId="72" xfId="0" applyNumberFormat="1" applyFont="1" applyFill="1" applyBorder="1" applyAlignment="1">
      <alignment horizontal="center" vertical="center"/>
    </xf>
    <xf numFmtId="164" fontId="3" fillId="0" borderId="46" xfId="0" applyNumberFormat="1" applyFont="1" applyFill="1" applyBorder="1" applyAlignment="1">
      <alignment horizontal="center" vertical="center"/>
    </xf>
    <xf numFmtId="164" fontId="3" fillId="0" borderId="47" xfId="0" applyNumberFormat="1" applyFont="1" applyFill="1" applyBorder="1" applyAlignment="1">
      <alignment horizontal="center" vertical="center"/>
    </xf>
    <xf numFmtId="164" fontId="3" fillId="0" borderId="45" xfId="0" applyNumberFormat="1" applyFont="1" applyFill="1" applyBorder="1" applyAlignment="1">
      <alignment horizontal="center" vertical="center"/>
    </xf>
    <xf numFmtId="0" fontId="3" fillId="0" borderId="14" xfId="0" applyFont="1" applyFill="1" applyBorder="1" applyAlignment="1">
      <alignment horizontal="center" vertical="center"/>
    </xf>
    <xf numFmtId="0" fontId="3" fillId="0" borderId="34" xfId="0" quotePrefix="1" applyFont="1" applyFill="1" applyBorder="1" applyAlignment="1">
      <alignment horizontal="center" vertical="center"/>
    </xf>
    <xf numFmtId="0" fontId="3" fillId="0" borderId="33" xfId="0" quotePrefix="1" applyFont="1" applyFill="1" applyBorder="1" applyAlignment="1">
      <alignment horizontal="center" vertical="center"/>
    </xf>
    <xf numFmtId="0" fontId="6" fillId="4" borderId="52" xfId="0" applyFont="1" applyFill="1" applyBorder="1" applyAlignment="1">
      <alignment horizontal="center" vertical="center"/>
    </xf>
    <xf numFmtId="0" fontId="6" fillId="4" borderId="53" xfId="0" applyFont="1" applyFill="1" applyBorder="1" applyAlignment="1">
      <alignment horizontal="center" vertical="center"/>
    </xf>
    <xf numFmtId="0" fontId="3" fillId="0" borderId="0" xfId="0" applyFont="1"/>
    <xf numFmtId="0" fontId="3" fillId="0" borderId="2" xfId="0" applyNumberFormat="1" applyFont="1" applyFill="1" applyBorder="1" applyAlignment="1">
      <alignment horizontal="center" vertical="center"/>
    </xf>
    <xf numFmtId="2" fontId="3" fillId="14" borderId="14" xfId="0" applyNumberFormat="1" applyFont="1" applyFill="1" applyBorder="1" applyAlignment="1">
      <alignment horizontal="center" vertical="center"/>
    </xf>
    <xf numFmtId="2" fontId="3" fillId="14" borderId="0" xfId="0" applyNumberFormat="1" applyFont="1" applyFill="1" applyBorder="1" applyAlignment="1">
      <alignment horizontal="center" vertical="center"/>
    </xf>
    <xf numFmtId="2" fontId="3" fillId="14" borderId="26" xfId="0" quotePrefix="1" applyNumberFormat="1" applyFont="1" applyFill="1" applyBorder="1" applyAlignment="1">
      <alignment horizontal="center" vertical="center"/>
    </xf>
    <xf numFmtId="2" fontId="3" fillId="14" borderId="12" xfId="0" applyNumberFormat="1" applyFont="1" applyFill="1" applyBorder="1" applyAlignment="1">
      <alignment horizontal="center" vertical="center"/>
    </xf>
    <xf numFmtId="2" fontId="3" fillId="14" borderId="27" xfId="0" applyNumberFormat="1" applyFont="1" applyFill="1" applyBorder="1" applyAlignment="1">
      <alignment horizontal="center" vertical="center"/>
    </xf>
    <xf numFmtId="2" fontId="3" fillId="14" borderId="29" xfId="0" applyNumberFormat="1" applyFont="1" applyFill="1" applyBorder="1" applyAlignment="1">
      <alignment horizontal="center" vertical="center"/>
    </xf>
    <xf numFmtId="2" fontId="3" fillId="14" borderId="31" xfId="0" applyNumberFormat="1" applyFont="1" applyFill="1" applyBorder="1" applyAlignment="1">
      <alignment horizontal="center" vertical="center"/>
    </xf>
    <xf numFmtId="0" fontId="0" fillId="14" borderId="18" xfId="0" applyFill="1" applyBorder="1" applyAlignment="1">
      <alignment vertical="center"/>
    </xf>
    <xf numFmtId="0" fontId="0" fillId="14" borderId="10" xfId="0" applyFill="1" applyBorder="1" applyAlignment="1">
      <alignment vertical="center"/>
    </xf>
    <xf numFmtId="0" fontId="0" fillId="14" borderId="17" xfId="0" applyFill="1" applyBorder="1" applyAlignment="1">
      <alignment vertical="center"/>
    </xf>
    <xf numFmtId="0" fontId="0" fillId="14" borderId="43" xfId="0" applyFill="1" applyBorder="1" applyAlignment="1">
      <alignment vertical="center"/>
    </xf>
    <xf numFmtId="2" fontId="3" fillId="14" borderId="44" xfId="0" quotePrefix="1" applyNumberFormat="1" applyFont="1" applyFill="1" applyBorder="1" applyAlignment="1">
      <alignment horizontal="center" vertical="center"/>
    </xf>
    <xf numFmtId="2" fontId="3" fillId="14" borderId="33" xfId="0" quotePrefix="1" applyNumberFormat="1" applyFont="1" applyFill="1" applyBorder="1" applyAlignment="1">
      <alignment horizontal="center" vertical="center"/>
    </xf>
    <xf numFmtId="2" fontId="3" fillId="14" borderId="35" xfId="0" quotePrefix="1" applyNumberFormat="1" applyFont="1" applyFill="1" applyBorder="1" applyAlignment="1">
      <alignment horizontal="center" vertical="center"/>
    </xf>
    <xf numFmtId="2" fontId="3" fillId="14" borderId="18" xfId="0" applyNumberFormat="1" applyFont="1" applyFill="1" applyBorder="1" applyAlignment="1">
      <alignment horizontal="center" vertical="center"/>
    </xf>
    <xf numFmtId="2" fontId="3" fillId="14" borderId="14" xfId="0" quotePrefix="1" applyNumberFormat="1" applyFont="1" applyFill="1" applyBorder="1" applyAlignment="1">
      <alignment horizontal="center" vertical="center"/>
    </xf>
    <xf numFmtId="2" fontId="3" fillId="14" borderId="10" xfId="0" applyNumberFormat="1" applyFont="1" applyFill="1" applyBorder="1" applyAlignment="1">
      <alignment horizontal="center" vertical="center"/>
    </xf>
    <xf numFmtId="2" fontId="3" fillId="14" borderId="17" xfId="0" applyNumberFormat="1" applyFont="1" applyFill="1" applyBorder="1" applyAlignment="1">
      <alignment horizontal="center" vertical="center"/>
    </xf>
    <xf numFmtId="2" fontId="3" fillId="14" borderId="16" xfId="0" applyNumberFormat="1" applyFont="1" applyFill="1" applyBorder="1" applyAlignment="1">
      <alignment horizontal="center" vertical="center"/>
    </xf>
    <xf numFmtId="2" fontId="3" fillId="14" borderId="43" xfId="0" applyNumberFormat="1" applyFont="1" applyFill="1" applyBorder="1" applyAlignment="1">
      <alignment horizontal="center" vertical="center"/>
    </xf>
    <xf numFmtId="2" fontId="3" fillId="14" borderId="44" xfId="0" applyNumberFormat="1" applyFont="1" applyFill="1" applyBorder="1" applyAlignment="1">
      <alignment horizontal="center" vertical="center"/>
    </xf>
    <xf numFmtId="2" fontId="3" fillId="14" borderId="35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0" fontId="3" fillId="0" borderId="35" xfId="0" applyFont="1" applyFill="1" applyBorder="1" applyAlignment="1">
      <alignment horizontal="center" vertical="center"/>
    </xf>
    <xf numFmtId="0" fontId="3" fillId="16" borderId="18" xfId="0" applyFont="1" applyFill="1" applyBorder="1" applyAlignment="1">
      <alignment vertical="center"/>
    </xf>
    <xf numFmtId="0" fontId="3" fillId="17" borderId="18" xfId="0" applyFont="1" applyFill="1" applyBorder="1" applyAlignment="1">
      <alignment vertical="center"/>
    </xf>
    <xf numFmtId="0" fontId="3" fillId="16" borderId="43" xfId="0" applyFont="1" applyFill="1" applyBorder="1" applyAlignment="1">
      <alignment vertical="center"/>
    </xf>
    <xf numFmtId="0" fontId="0" fillId="14" borderId="25" xfId="0" applyFill="1" applyBorder="1" applyAlignment="1">
      <alignment vertical="center"/>
    </xf>
    <xf numFmtId="0" fontId="0" fillId="14" borderId="71" xfId="0" applyFill="1" applyBorder="1" applyAlignment="1">
      <alignment horizontal="center" vertical="center"/>
    </xf>
    <xf numFmtId="0" fontId="0" fillId="14" borderId="52" xfId="0" applyFill="1" applyBorder="1" applyAlignment="1">
      <alignment horizontal="center" vertical="center"/>
    </xf>
    <xf numFmtId="0" fontId="0" fillId="14" borderId="53" xfId="0" applyFill="1" applyBorder="1" applyAlignment="1">
      <alignment horizontal="center" vertical="center"/>
    </xf>
    <xf numFmtId="0" fontId="3" fillId="15" borderId="63" xfId="0" applyFont="1" applyFill="1" applyBorder="1" applyAlignment="1">
      <alignment vertical="center"/>
    </xf>
    <xf numFmtId="0" fontId="0" fillId="5" borderId="55" xfId="0" applyNumberFormat="1" applyFill="1" applyBorder="1" applyAlignment="1">
      <alignment horizontal="center" vertical="center"/>
    </xf>
    <xf numFmtId="0" fontId="3" fillId="18" borderId="2" xfId="0" applyFont="1" applyFill="1" applyBorder="1" applyAlignment="1">
      <alignment horizontal="center" vertical="center"/>
    </xf>
    <xf numFmtId="0" fontId="3" fillId="18" borderId="66" xfId="0" quotePrefix="1" applyFont="1" applyFill="1" applyBorder="1" applyAlignment="1">
      <alignment horizontal="center" vertical="center"/>
    </xf>
    <xf numFmtId="0" fontId="3" fillId="18" borderId="37" xfId="0" applyFont="1" applyFill="1" applyBorder="1" applyAlignment="1">
      <alignment horizontal="center" vertical="center"/>
    </xf>
    <xf numFmtId="0" fontId="0" fillId="18" borderId="37" xfId="0" applyFill="1" applyBorder="1"/>
    <xf numFmtId="0" fontId="0" fillId="18" borderId="21" xfId="0" applyFill="1" applyBorder="1" applyAlignment="1">
      <alignment vertical="center"/>
    </xf>
    <xf numFmtId="0" fontId="3" fillId="18" borderId="5" xfId="0" applyFont="1" applyFill="1" applyBorder="1" applyAlignment="1">
      <alignment horizontal="center" vertical="center"/>
    </xf>
    <xf numFmtId="0" fontId="3" fillId="18" borderId="20" xfId="0" applyFont="1" applyFill="1" applyBorder="1" applyAlignment="1">
      <alignment horizontal="center" vertical="center"/>
    </xf>
    <xf numFmtId="0" fontId="3" fillId="18" borderId="55" xfId="0" applyFont="1" applyFill="1" applyBorder="1" applyAlignment="1">
      <alignment horizontal="center" vertical="center"/>
    </xf>
    <xf numFmtId="0" fontId="3" fillId="18" borderId="20" xfId="0" quotePrefix="1" applyFont="1" applyFill="1" applyBorder="1" applyAlignment="1">
      <alignment horizontal="center" vertical="center"/>
    </xf>
    <xf numFmtId="0" fontId="3" fillId="19" borderId="5" xfId="0" applyFont="1" applyFill="1" applyBorder="1" applyAlignment="1">
      <alignment horizontal="center" vertical="center"/>
    </xf>
    <xf numFmtId="0" fontId="3" fillId="19" borderId="66" xfId="0" quotePrefix="1" applyFont="1" applyFill="1" applyBorder="1" applyAlignment="1">
      <alignment horizontal="center" vertical="center"/>
    </xf>
    <xf numFmtId="0" fontId="3" fillId="19" borderId="37" xfId="0" applyFont="1" applyFill="1" applyBorder="1" applyAlignment="1">
      <alignment horizontal="center" vertical="center"/>
    </xf>
    <xf numFmtId="0" fontId="3" fillId="19" borderId="21" xfId="0" applyFont="1" applyFill="1" applyBorder="1" applyAlignment="1">
      <alignment horizontal="center" vertical="center"/>
    </xf>
    <xf numFmtId="0" fontId="3" fillId="19" borderId="11" xfId="0" applyFont="1" applyFill="1" applyBorder="1" applyAlignment="1">
      <alignment horizontal="center" vertical="center"/>
    </xf>
    <xf numFmtId="0" fontId="3" fillId="19" borderId="9" xfId="0" applyFont="1" applyFill="1" applyBorder="1" applyAlignment="1">
      <alignment horizontal="center" vertical="center"/>
    </xf>
    <xf numFmtId="0" fontId="3" fillId="19" borderId="20" xfId="0" applyFont="1" applyFill="1" applyBorder="1" applyAlignment="1">
      <alignment horizontal="center" vertical="center"/>
    </xf>
    <xf numFmtId="0" fontId="3" fillId="19" borderId="55" xfId="0" applyFont="1" applyFill="1" applyBorder="1" applyAlignment="1">
      <alignment horizontal="center" vertical="center"/>
    </xf>
    <xf numFmtId="0" fontId="3" fillId="19" borderId="30" xfId="0" applyFont="1" applyFill="1" applyBorder="1" applyAlignment="1">
      <alignment horizontal="center" vertical="center"/>
    </xf>
    <xf numFmtId="0" fontId="3" fillId="19" borderId="23" xfId="0" applyFont="1" applyFill="1" applyBorder="1" applyAlignment="1">
      <alignment horizontal="center" vertical="center"/>
    </xf>
    <xf numFmtId="0" fontId="3" fillId="19" borderId="56" xfId="0" applyFont="1" applyFill="1" applyBorder="1" applyAlignment="1">
      <alignment horizontal="center" vertical="center"/>
    </xf>
    <xf numFmtId="0" fontId="3" fillId="20" borderId="20" xfId="0" applyFont="1" applyFill="1" applyBorder="1" applyAlignment="1">
      <alignment horizontal="center" vertical="center"/>
    </xf>
    <xf numFmtId="0" fontId="3" fillId="20" borderId="55" xfId="0" applyFont="1" applyFill="1" applyBorder="1" applyAlignment="1">
      <alignment horizontal="center" vertical="center"/>
    </xf>
    <xf numFmtId="0" fontId="19" fillId="0" borderId="20" xfId="2" applyNumberFormat="1" applyFont="1" applyFill="1" applyBorder="1" applyAlignment="1">
      <alignment horizontal="center" vertical="center" wrapText="1"/>
    </xf>
    <xf numFmtId="0" fontId="19" fillId="0" borderId="20" xfId="1" applyNumberFormat="1" applyFont="1" applyFill="1" applyBorder="1" applyAlignment="1">
      <alignment horizontal="center" vertical="center" wrapText="1"/>
    </xf>
    <xf numFmtId="0" fontId="20" fillId="3" borderId="54" xfId="0" applyNumberFormat="1" applyFont="1" applyFill="1" applyBorder="1" applyAlignment="1">
      <alignment horizontal="center" vertical="center"/>
    </xf>
    <xf numFmtId="0" fontId="20" fillId="3" borderId="24" xfId="0" applyNumberFormat="1" applyFont="1" applyFill="1" applyBorder="1" applyAlignment="1">
      <alignment horizontal="center" vertical="center"/>
    </xf>
    <xf numFmtId="0" fontId="21" fillId="10" borderId="51" xfId="0" applyNumberFormat="1" applyFont="1" applyFill="1" applyBorder="1" applyAlignment="1">
      <alignment horizontal="center" vertical="center"/>
    </xf>
    <xf numFmtId="0" fontId="0" fillId="3" borderId="20" xfId="0" applyFill="1" applyBorder="1"/>
    <xf numFmtId="0" fontId="3" fillId="0" borderId="0" xfId="0" applyFont="1" applyFill="1" applyBorder="1" applyAlignment="1"/>
    <xf numFmtId="0" fontId="0" fillId="0" borderId="0" xfId="0" applyAlignment="1"/>
    <xf numFmtId="0" fontId="0" fillId="0" borderId="14" xfId="0" applyBorder="1" applyAlignment="1"/>
    <xf numFmtId="0" fontId="11" fillId="0" borderId="29" xfId="0" applyFont="1" applyFill="1" applyBorder="1" applyAlignment="1"/>
    <xf numFmtId="0" fontId="0" fillId="0" borderId="29" xfId="0" applyFill="1" applyBorder="1" applyAlignment="1"/>
    <xf numFmtId="0" fontId="0" fillId="0" borderId="31" xfId="0" applyBorder="1" applyAlignment="1"/>
    <xf numFmtId="0" fontId="6" fillId="8" borderId="25" xfId="0" applyFont="1" applyFill="1" applyBorder="1" applyAlignment="1">
      <alignment horizontal="center" vertical="center"/>
    </xf>
    <xf numFmtId="0" fontId="6" fillId="8" borderId="33" xfId="0" applyFont="1" applyFill="1" applyBorder="1" applyAlignment="1">
      <alignment horizontal="center" vertical="center"/>
    </xf>
    <xf numFmtId="0" fontId="6" fillId="8" borderId="35" xfId="0" applyFont="1" applyFill="1" applyBorder="1" applyAlignment="1">
      <alignment horizontal="center" vertical="center"/>
    </xf>
    <xf numFmtId="0" fontId="6" fillId="4" borderId="25" xfId="0" quotePrefix="1" applyFont="1" applyFill="1" applyBorder="1" applyAlignment="1">
      <alignment horizontal="center" vertical="center"/>
    </xf>
    <xf numFmtId="0" fontId="6" fillId="4" borderId="52" xfId="0" applyFont="1" applyFill="1" applyBorder="1" applyAlignment="1">
      <alignment horizontal="center" vertical="center"/>
    </xf>
    <xf numFmtId="0" fontId="6" fillId="4" borderId="53" xfId="0" applyFont="1" applyFill="1" applyBorder="1" applyAlignment="1">
      <alignment horizontal="center" vertical="center"/>
    </xf>
    <xf numFmtId="0" fontId="6" fillId="6" borderId="44" xfId="0" quotePrefix="1" applyFont="1" applyFill="1" applyBorder="1" applyAlignment="1">
      <alignment horizontal="center" vertical="center"/>
    </xf>
    <xf numFmtId="0" fontId="6" fillId="6" borderId="33" xfId="0" applyFont="1" applyFill="1" applyBorder="1" applyAlignment="1">
      <alignment horizontal="center" vertical="center"/>
    </xf>
    <xf numFmtId="0" fontId="6" fillId="6" borderId="35" xfId="0" applyFont="1" applyFill="1" applyBorder="1" applyAlignment="1">
      <alignment horizontal="center" vertical="center"/>
    </xf>
    <xf numFmtId="0" fontId="0" fillId="0" borderId="44" xfId="0" applyFill="1" applyBorder="1" applyAlignment="1">
      <alignment horizontal="center"/>
    </xf>
    <xf numFmtId="0" fontId="0" fillId="0" borderId="35" xfId="0" applyFill="1" applyBorder="1" applyAlignment="1"/>
    <xf numFmtId="0" fontId="6" fillId="11" borderId="25" xfId="0" applyFont="1" applyFill="1" applyBorder="1" applyAlignment="1">
      <alignment horizontal="center" vertical="center"/>
    </xf>
    <xf numFmtId="0" fontId="6" fillId="11" borderId="33" xfId="0" applyFont="1" applyFill="1" applyBorder="1" applyAlignment="1">
      <alignment horizontal="center" vertical="center"/>
    </xf>
    <xf numFmtId="0" fontId="6" fillId="11" borderId="35" xfId="0" applyFont="1" applyFill="1" applyBorder="1" applyAlignment="1">
      <alignment horizontal="center" vertical="center"/>
    </xf>
    <xf numFmtId="0" fontId="0" fillId="0" borderId="44" xfId="0" applyBorder="1" applyAlignment="1">
      <alignment horizontal="center"/>
    </xf>
    <xf numFmtId="0" fontId="0" fillId="0" borderId="35" xfId="0" applyBorder="1" applyAlignment="1"/>
    <xf numFmtId="0" fontId="6" fillId="8" borderId="52" xfId="0" applyFont="1" applyFill="1" applyBorder="1" applyAlignment="1">
      <alignment horizontal="center" vertical="center"/>
    </xf>
    <xf numFmtId="0" fontId="6" fillId="8" borderId="53" xfId="0" applyFont="1" applyFill="1" applyBorder="1" applyAlignment="1">
      <alignment horizontal="center" vertical="center"/>
    </xf>
    <xf numFmtId="0" fontId="6" fillId="8" borderId="44" xfId="0" applyFont="1" applyFill="1" applyBorder="1" applyAlignment="1">
      <alignment horizontal="center" vertical="center"/>
    </xf>
    <xf numFmtId="0" fontId="6" fillId="6" borderId="25" xfId="0" applyFont="1" applyFill="1" applyBorder="1" applyAlignment="1">
      <alignment horizontal="center" vertical="center"/>
    </xf>
    <xf numFmtId="0" fontId="6" fillId="6" borderId="52" xfId="0" applyFont="1" applyFill="1" applyBorder="1" applyAlignment="1">
      <alignment horizontal="center" vertical="center"/>
    </xf>
    <xf numFmtId="0" fontId="6" fillId="6" borderId="53" xfId="0" applyFont="1" applyFill="1" applyBorder="1" applyAlignment="1">
      <alignment horizontal="center" vertical="center"/>
    </xf>
    <xf numFmtId="0" fontId="3" fillId="9" borderId="15" xfId="0" applyFont="1" applyFill="1" applyBorder="1" applyAlignment="1">
      <alignment horizontal="center" vertical="center"/>
    </xf>
    <xf numFmtId="0" fontId="3" fillId="9" borderId="13" xfId="0" applyFont="1" applyFill="1" applyBorder="1" applyAlignment="1">
      <alignment horizontal="center" vertical="center"/>
    </xf>
    <xf numFmtId="0" fontId="3" fillId="9" borderId="3" xfId="0" applyFont="1" applyFill="1" applyBorder="1" applyAlignment="1">
      <alignment horizontal="center" vertical="center"/>
    </xf>
    <xf numFmtId="0" fontId="3" fillId="9" borderId="6" xfId="0" applyFont="1" applyFill="1" applyBorder="1" applyAlignment="1">
      <alignment horizontal="center" vertical="center"/>
    </xf>
    <xf numFmtId="0" fontId="3" fillId="8" borderId="0" xfId="0" applyFont="1" applyFill="1" applyBorder="1" applyAlignment="1">
      <alignment horizontal="center" vertical="center"/>
    </xf>
    <xf numFmtId="0" fontId="0" fillId="0" borderId="59" xfId="0" applyBorder="1"/>
    <xf numFmtId="0" fontId="0" fillId="0" borderId="23" xfId="0" applyBorder="1"/>
    <xf numFmtId="0" fontId="0" fillId="0" borderId="56" xfId="0" applyBorder="1"/>
    <xf numFmtId="0" fontId="3" fillId="0" borderId="58" xfId="0" applyFont="1" applyBorder="1" applyAlignment="1">
      <alignment horizontal="center"/>
    </xf>
    <xf numFmtId="0" fontId="3" fillId="0" borderId="41" xfId="0" applyFont="1" applyBorder="1" applyAlignment="1">
      <alignment horizontal="center"/>
    </xf>
    <xf numFmtId="0" fontId="3" fillId="0" borderId="62" xfId="0" applyFont="1" applyBorder="1" applyAlignment="1">
      <alignment horizontal="center"/>
    </xf>
  </cellXfs>
  <cellStyles count="3">
    <cellStyle name="Good" xfId="1" builtinId="26"/>
    <cellStyle name="Neutral" xfId="2" builtinId="28"/>
    <cellStyle name="Normal" xfId="0" builtinId="0"/>
  </cellStyles>
  <dxfs count="12">
    <dxf>
      <fill>
        <patternFill>
          <bgColor indexed="10"/>
        </patternFill>
      </fill>
    </dxf>
    <dxf>
      <font>
        <b/>
        <i val="0"/>
        <condense val="0"/>
        <extend val="0"/>
      </font>
      <fill>
        <patternFill>
          <bgColor indexed="17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10"/>
        </patternFill>
      </fill>
    </dxf>
    <dxf>
      <font>
        <b/>
        <i val="0"/>
        <condense val="0"/>
        <extend val="0"/>
      </font>
      <fill>
        <patternFill>
          <bgColor indexed="17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10"/>
        </patternFill>
      </fill>
    </dxf>
    <dxf>
      <font>
        <b/>
        <i val="0"/>
        <condense val="0"/>
        <extend val="0"/>
      </font>
      <fill>
        <patternFill>
          <bgColor indexed="17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10"/>
        </patternFill>
      </fill>
    </dxf>
    <dxf>
      <font>
        <b/>
        <i val="0"/>
        <condense val="0"/>
        <extend val="0"/>
      </font>
      <fill>
        <patternFill>
          <bgColor indexed="17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10"/>
        </patternFill>
      </fill>
    </dxf>
    <dxf>
      <font>
        <b/>
        <i val="0"/>
        <condense val="0"/>
        <extend val="0"/>
      </font>
      <fill>
        <patternFill>
          <bgColor indexed="17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10"/>
        </patternFill>
      </fill>
    </dxf>
    <dxf>
      <font>
        <b/>
        <i val="0"/>
        <condense val="0"/>
        <extend val="0"/>
      </font>
      <fill>
        <patternFill>
          <bgColor indexed="17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tx1"/>
                </a:solidFill>
              </a:rPr>
              <a:t>Slope ratio assay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none"/>
          </c:marker>
          <c:xVal>
            <c:numRef>
              <c:f>Calc!$O$85:$O$100</c:f>
              <c:numCache>
                <c:formatCode>General</c:formatCode>
                <c:ptCount val="16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</c:numCache>
            </c:numRef>
          </c:xVal>
          <c:yVal>
            <c:numRef>
              <c:f>Calc!$P$85:$P$100</c:f>
              <c:numCache>
                <c:formatCode>General</c:formatCode>
                <c:ptCount val="16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9F-4A10-8E24-B3EB81CEBFCB}"/>
            </c:ext>
          </c:extLst>
        </c:ser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Calc!$O$85:$O$100</c:f>
              <c:numCache>
                <c:formatCode>General</c:formatCode>
                <c:ptCount val="16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</c:numCache>
            </c:numRef>
          </c:xVal>
          <c:yVal>
            <c:numRef>
              <c:f>Calc!$Q$85:$Q$100</c:f>
              <c:numCache>
                <c:formatCode>General</c:formatCode>
                <c:ptCount val="16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69F-4A10-8E24-B3EB81CEBFCB}"/>
            </c:ext>
          </c:extLst>
        </c:ser>
        <c:ser>
          <c:idx val="2"/>
          <c:order val="2"/>
          <c:spPr>
            <a:ln w="28575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FF00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Calc!$O$85:$O$100</c:f>
              <c:numCache>
                <c:formatCode>General</c:formatCode>
                <c:ptCount val="16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</c:numCache>
            </c:numRef>
          </c:xVal>
          <c:yVal>
            <c:numRef>
              <c:f>Calc!$R$85:$R$100</c:f>
              <c:numCache>
                <c:formatCode>General</c:formatCode>
                <c:ptCount val="16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69F-4A10-8E24-B3EB81CEBFCB}"/>
            </c:ext>
          </c:extLst>
        </c:ser>
        <c:ser>
          <c:idx val="3"/>
          <c:order val="3"/>
          <c:spPr>
            <a:ln w="28575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FF00"/>
              </a:solidFill>
              <a:ln w="9525">
                <a:solidFill>
                  <a:schemeClr val="tx1"/>
                </a:solidFill>
              </a:ln>
              <a:effectLst/>
            </c:spPr>
          </c:marker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4-092C-45D3-A0D2-E36D9F02DA38}"/>
              </c:ext>
            </c:extLst>
          </c:dPt>
          <c:xVal>
            <c:numRef>
              <c:f>Calc!$O$85:$O$100</c:f>
              <c:numCache>
                <c:formatCode>General</c:formatCode>
                <c:ptCount val="16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</c:numCache>
            </c:numRef>
          </c:xVal>
          <c:yVal>
            <c:numRef>
              <c:f>Calc!$S$85:$S$100</c:f>
              <c:numCache>
                <c:formatCode>General</c:formatCode>
                <c:ptCount val="16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69F-4A10-8E24-B3EB81CEBFCB}"/>
            </c:ext>
          </c:extLst>
        </c:ser>
        <c:ser>
          <c:idx val="4"/>
          <c:order val="4"/>
          <c:spPr>
            <a:ln w="28575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FF00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Calc!$O$85:$O$100</c:f>
              <c:numCache>
                <c:formatCode>General</c:formatCode>
                <c:ptCount val="16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</c:numCache>
            </c:numRef>
          </c:xVal>
          <c:yVal>
            <c:numRef>
              <c:f>Calc!$T$85:$T$100</c:f>
              <c:numCache>
                <c:formatCode>General</c:formatCode>
                <c:ptCount val="16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69F-4A10-8E24-B3EB81CEBFCB}"/>
            </c:ext>
          </c:extLst>
        </c:ser>
        <c:ser>
          <c:idx val="5"/>
          <c:order val="5"/>
          <c:spPr>
            <a:ln w="28575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FF00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Calc!$O$85:$O$100</c:f>
              <c:numCache>
                <c:formatCode>General</c:formatCode>
                <c:ptCount val="16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</c:numCache>
            </c:numRef>
          </c:xVal>
          <c:yVal>
            <c:numRef>
              <c:f>Calc!$U$85:$U$100</c:f>
              <c:numCache>
                <c:formatCode>General</c:formatCode>
                <c:ptCount val="16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69F-4A10-8E24-B3EB81CEBFCB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Calc!$O$85:$O$100</c:f>
              <c:numCache>
                <c:formatCode>General</c:formatCode>
                <c:ptCount val="16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</c:numCache>
            </c:numRef>
          </c:xVal>
          <c:yVal>
            <c:numRef>
              <c:f>Calc!$V$85:$V$100</c:f>
              <c:numCache>
                <c:formatCode>General</c:formatCode>
                <c:ptCount val="1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69F-4A10-8E24-B3EB81CEBFCB}"/>
            </c:ext>
          </c:extLst>
        </c:ser>
        <c:ser>
          <c:idx val="7"/>
          <c:order val="7"/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FFFF00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Calc!$O$85:$O$100</c:f>
              <c:numCache>
                <c:formatCode>General</c:formatCode>
                <c:ptCount val="16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</c:numCache>
            </c:numRef>
          </c:xVal>
          <c:yVal>
            <c:numRef>
              <c:f>Calc!$W$85:$W$100</c:f>
              <c:numCache>
                <c:formatCode>0.0</c:formatCode>
                <c:ptCount val="16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9">
                  <c:v>0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69F-4A10-8E24-B3EB81CEBF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8850575"/>
        <c:axId val="1"/>
      </c:scatterChart>
      <c:valAx>
        <c:axId val="3888505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0" vert="horz"/>
          <a:lstStyle/>
          <a:p>
            <a:pPr>
              <a:defRPr sz="1100" b="1" i="0" u="none" strike="noStrike" baseline="0">
                <a:solidFill>
                  <a:schemeClr val="tx1"/>
                </a:solidFill>
                <a:latin typeface="Calibri"/>
                <a:ea typeface="Calibri"/>
                <a:cs typeface="Calibri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388850575"/>
        <c:crosses val="autoZero"/>
        <c:crossBetween val="midCat"/>
      </c:valAx>
      <c:spPr>
        <a:noFill/>
        <a:ln w="22225" cmpd="sng">
          <a:solidFill>
            <a:schemeClr val="tx1"/>
          </a:solidFill>
        </a:ln>
      </c:spPr>
    </c:plotArea>
    <c:plotVisOnly val="1"/>
    <c:dispBlanksAs val="gap"/>
    <c:showDLblsOverMax val="0"/>
  </c:chart>
  <c:spPr>
    <a:solidFill>
      <a:schemeClr val="tx2">
        <a:lumMod val="60000"/>
        <a:lumOff val="4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3208-438D-B0A2-76688F90E330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3208-438D-B0A2-76688F90E330}"/>
            </c:ext>
          </c:extLst>
        </c:ser>
        <c:ser>
          <c:idx val="2"/>
          <c:order val="2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3208-438D-B0A2-76688F90E330}"/>
            </c:ext>
          </c:extLst>
        </c:ser>
        <c:ser>
          <c:idx val="3"/>
          <c:order val="3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3208-438D-B0A2-76688F90E330}"/>
            </c:ext>
          </c:extLst>
        </c:ser>
        <c:ser>
          <c:idx val="4"/>
          <c:order val="4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Calc!$O$92:$O$93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Calc!$P$92:$P$93</c:f>
              <c:numCache>
                <c:formatCode>General</c:formatCode>
                <c:ptCount val="2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208-438D-B0A2-76688F90E330}"/>
            </c:ext>
          </c:extLst>
        </c:ser>
        <c:ser>
          <c:idx val="5"/>
          <c:order val="5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Calc!$O$92:$O$93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Calc!$Q$92:$Q$93</c:f>
              <c:numCache>
                <c:formatCode>General</c:formatCode>
                <c:ptCount val="2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208-438D-B0A2-76688F90E330}"/>
            </c:ext>
          </c:extLst>
        </c:ser>
        <c:ser>
          <c:idx val="6"/>
          <c:order val="6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3208-438D-B0A2-76688F90E330}"/>
            </c:ext>
          </c:extLst>
        </c:ser>
        <c:ser>
          <c:idx val="7"/>
          <c:order val="7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noFill/>
              <a:ln w="9525">
                <a:noFill/>
              </a:ln>
            </c:spPr>
          </c:marker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3208-438D-B0A2-76688F90E330}"/>
            </c:ext>
          </c:extLst>
        </c:ser>
        <c:ser>
          <c:idx val="8"/>
          <c:order val="8"/>
          <c:spPr>
            <a:ln w="12700">
              <a:solidFill>
                <a:srgbClr val="00CCFF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CCFF"/>
                </a:solidFill>
                <a:prstDash val="solid"/>
              </a:ln>
            </c:spPr>
          </c:marker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8-3208-438D-B0A2-76688F90E330}"/>
            </c:ext>
          </c:extLst>
        </c:ser>
        <c:ser>
          <c:idx val="9"/>
          <c:order val="9"/>
          <c:spPr>
            <a:ln w="12700">
              <a:solidFill>
                <a:srgbClr val="CCFF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CCFFFF"/>
              </a:solidFill>
              <a:ln>
                <a:solidFill>
                  <a:srgbClr val="CCFFFF"/>
                </a:solidFill>
                <a:prstDash val="solid"/>
              </a:ln>
            </c:spPr>
          </c:marker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9-3208-438D-B0A2-76688F90E330}"/>
            </c:ext>
          </c:extLst>
        </c:ser>
        <c:ser>
          <c:idx val="10"/>
          <c:order val="10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A-3208-438D-B0A2-76688F90E330}"/>
            </c:ext>
          </c:extLst>
        </c:ser>
        <c:ser>
          <c:idx val="11"/>
          <c:order val="11"/>
          <c:spPr>
            <a:ln w="12700">
              <a:solidFill>
                <a:srgbClr val="FFFF99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99"/>
              </a:solidFill>
              <a:ln>
                <a:solidFill>
                  <a:srgbClr val="FFFF99"/>
                </a:solidFill>
                <a:prstDash val="solid"/>
              </a:ln>
            </c:spPr>
          </c:marker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B-3208-438D-B0A2-76688F90E330}"/>
            </c:ext>
          </c:extLst>
        </c:ser>
        <c:ser>
          <c:idx val="12"/>
          <c:order val="12"/>
          <c:spPr>
            <a:ln w="12700">
              <a:solidFill>
                <a:srgbClr val="99CC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99CCFF"/>
                </a:solidFill>
                <a:prstDash val="solid"/>
              </a:ln>
            </c:spPr>
          </c:marker>
          <c:xVal>
            <c:numRef>
              <c:f>Calc!$O$92:$O$93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Calc!$R$92:$R$93</c:f>
              <c:numCache>
                <c:formatCode>General</c:formatCode>
                <c:ptCount val="2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3208-438D-B0A2-76688F90E330}"/>
            </c:ext>
          </c:extLst>
        </c:ser>
        <c:ser>
          <c:idx val="13"/>
          <c:order val="13"/>
          <c:spPr>
            <a:ln w="12700">
              <a:solidFill>
                <a:srgbClr val="FF99CC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FF99CC"/>
                </a:solidFill>
                <a:prstDash val="solid"/>
              </a:ln>
            </c:spPr>
          </c:marker>
          <c:xVal>
            <c:numRef>
              <c:f>Calc!$O$92:$O$93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Calc!$S$92:$S$93</c:f>
              <c:numCache>
                <c:formatCode>General</c:formatCode>
                <c:ptCount val="2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3208-438D-B0A2-76688F90E3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8854319"/>
        <c:axId val="1"/>
      </c:scatterChart>
      <c:valAx>
        <c:axId val="38885431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dose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response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388854319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000000000000022" r="0.75000000000000022" t="1" header="0.5" footer="0.5"/>
    <c:pageSetup paperSize="9" orientation="landscape" horizontalDpi="-4" verticalDpi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087F-4269-81FF-D49B867E6244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087F-4269-81FF-D49B867E6244}"/>
            </c:ext>
          </c:extLst>
        </c:ser>
        <c:ser>
          <c:idx val="2"/>
          <c:order val="2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087F-4269-81FF-D49B867E6244}"/>
            </c:ext>
          </c:extLst>
        </c:ser>
        <c:ser>
          <c:idx val="3"/>
          <c:order val="3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087F-4269-81FF-D49B867E6244}"/>
            </c:ext>
          </c:extLst>
        </c:ser>
        <c:ser>
          <c:idx val="4"/>
          <c:order val="4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Calc!$O$92:$O$93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Calc!$P$92:$P$93</c:f>
              <c:numCache>
                <c:formatCode>General</c:formatCode>
                <c:ptCount val="2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87F-4269-81FF-D49B867E6244}"/>
            </c:ext>
          </c:extLst>
        </c:ser>
        <c:ser>
          <c:idx val="5"/>
          <c:order val="5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Calc!$O$92:$O$93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Calc!$Q$92:$Q$93</c:f>
              <c:numCache>
                <c:formatCode>General</c:formatCode>
                <c:ptCount val="2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87F-4269-81FF-D49B867E6244}"/>
            </c:ext>
          </c:extLst>
        </c:ser>
        <c:ser>
          <c:idx val="6"/>
          <c:order val="6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087F-4269-81FF-D49B867E6244}"/>
            </c:ext>
          </c:extLst>
        </c:ser>
        <c:ser>
          <c:idx val="7"/>
          <c:order val="7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noFill/>
              <a:ln w="9525">
                <a:noFill/>
              </a:ln>
            </c:spPr>
          </c:marker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087F-4269-81FF-D49B867E6244}"/>
            </c:ext>
          </c:extLst>
        </c:ser>
        <c:ser>
          <c:idx val="8"/>
          <c:order val="8"/>
          <c:spPr>
            <a:ln w="12700">
              <a:solidFill>
                <a:srgbClr val="00CCFF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CCFF"/>
                </a:solidFill>
                <a:prstDash val="solid"/>
              </a:ln>
            </c:spPr>
          </c:marker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8-087F-4269-81FF-D49B867E6244}"/>
            </c:ext>
          </c:extLst>
        </c:ser>
        <c:ser>
          <c:idx val="9"/>
          <c:order val="9"/>
          <c:spPr>
            <a:ln w="12700">
              <a:solidFill>
                <a:srgbClr val="CCFF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CCFFFF"/>
              </a:solidFill>
              <a:ln>
                <a:solidFill>
                  <a:srgbClr val="CCFFFF"/>
                </a:solidFill>
                <a:prstDash val="solid"/>
              </a:ln>
            </c:spPr>
          </c:marker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9-087F-4269-81FF-D49B867E6244}"/>
            </c:ext>
          </c:extLst>
        </c:ser>
        <c:ser>
          <c:idx val="10"/>
          <c:order val="10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A-087F-4269-81FF-D49B867E6244}"/>
            </c:ext>
          </c:extLst>
        </c:ser>
        <c:ser>
          <c:idx val="11"/>
          <c:order val="11"/>
          <c:spPr>
            <a:ln w="12700">
              <a:solidFill>
                <a:srgbClr val="FFFF99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99"/>
              </a:solidFill>
              <a:ln>
                <a:solidFill>
                  <a:srgbClr val="FFFF99"/>
                </a:solidFill>
                <a:prstDash val="solid"/>
              </a:ln>
            </c:spPr>
          </c:marker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B-087F-4269-81FF-D49B867E6244}"/>
            </c:ext>
          </c:extLst>
        </c:ser>
        <c:ser>
          <c:idx val="12"/>
          <c:order val="12"/>
          <c:spPr>
            <a:ln w="12700">
              <a:solidFill>
                <a:srgbClr val="99CC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99CCFF"/>
                </a:solidFill>
                <a:prstDash val="solid"/>
              </a:ln>
            </c:spPr>
          </c:marker>
          <c:xVal>
            <c:numRef>
              <c:f>Calc!$O$92:$O$93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Calc!$R$92:$R$93</c:f>
              <c:numCache>
                <c:formatCode>General</c:formatCode>
                <c:ptCount val="2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087F-4269-81FF-D49B867E6244}"/>
            </c:ext>
          </c:extLst>
        </c:ser>
        <c:ser>
          <c:idx val="13"/>
          <c:order val="13"/>
          <c:spPr>
            <a:ln w="12700">
              <a:solidFill>
                <a:srgbClr val="FF99CC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FF99CC"/>
                </a:solidFill>
                <a:prstDash val="solid"/>
              </a:ln>
            </c:spPr>
          </c:marker>
          <c:xVal>
            <c:numRef>
              <c:f>Calc!$O$92:$O$93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Calc!$S$92:$S$93</c:f>
              <c:numCache>
                <c:formatCode>General</c:formatCode>
                <c:ptCount val="2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087F-4269-81FF-D49B867E62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8848495"/>
        <c:axId val="1"/>
      </c:scatterChart>
      <c:valAx>
        <c:axId val="38884849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dose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response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388848495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Calc!$O$86:$O$91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xVal>
          <c:yVal>
            <c:numRef>
              <c:f>Calc!$P$86:$P$91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25-40C4-B041-77C238FBED31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4E25-40C4-B041-77C238FBED31}"/>
            </c:ext>
          </c:extLst>
        </c:ser>
        <c:ser>
          <c:idx val="2"/>
          <c:order val="2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Calc!$O$86:$O$91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xVal>
          <c:yVal>
            <c:numRef>
              <c:f>Calc!$Q$86:$Q$91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E25-40C4-B041-77C238FBED31}"/>
            </c:ext>
          </c:extLst>
        </c:ser>
        <c:ser>
          <c:idx val="3"/>
          <c:order val="3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4E25-40C4-B041-77C238FBED31}"/>
            </c:ext>
          </c:extLst>
        </c:ser>
        <c:ser>
          <c:idx val="4"/>
          <c:order val="4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Calc!$O$92:$O$93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Calc!$P$92:$P$93</c:f>
              <c:numCache>
                <c:formatCode>General</c:formatCode>
                <c:ptCount val="2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E25-40C4-B041-77C238FBED31}"/>
            </c:ext>
          </c:extLst>
        </c:ser>
        <c:ser>
          <c:idx val="5"/>
          <c:order val="5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Calc!$O$92:$O$93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Calc!$Q$92:$Q$93</c:f>
              <c:numCache>
                <c:formatCode>General</c:formatCode>
                <c:ptCount val="2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E25-40C4-B041-77C238FBED31}"/>
            </c:ext>
          </c:extLst>
        </c:ser>
        <c:ser>
          <c:idx val="6"/>
          <c:order val="6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4E25-40C4-B041-77C238FBED31}"/>
            </c:ext>
          </c:extLst>
        </c:ser>
        <c:ser>
          <c:idx val="7"/>
          <c:order val="7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noFill/>
              <a:ln w="9525">
                <a:noFill/>
              </a:ln>
            </c:spPr>
          </c:marker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4E25-40C4-B041-77C238FBED31}"/>
            </c:ext>
          </c:extLst>
        </c:ser>
        <c:ser>
          <c:idx val="8"/>
          <c:order val="8"/>
          <c:spPr>
            <a:ln w="12700">
              <a:solidFill>
                <a:srgbClr val="00CCFF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CCFF"/>
                </a:solidFill>
                <a:prstDash val="solid"/>
              </a:ln>
            </c:spPr>
          </c:marker>
          <c:xVal>
            <c:numRef>
              <c:f>Calc!$O$86:$O$91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xVal>
          <c:yVal>
            <c:numRef>
              <c:f>Calc!$R$86:$R$91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E25-40C4-B041-77C238FBED31}"/>
            </c:ext>
          </c:extLst>
        </c:ser>
        <c:ser>
          <c:idx val="9"/>
          <c:order val="9"/>
          <c:spPr>
            <a:ln w="12700">
              <a:solidFill>
                <a:srgbClr val="CCFF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CCFFFF"/>
              </a:solidFill>
              <a:ln>
                <a:solidFill>
                  <a:srgbClr val="CCFFFF"/>
                </a:solidFill>
                <a:prstDash val="solid"/>
              </a:ln>
            </c:spPr>
          </c:marker>
          <c:xVal>
            <c:numRef>
              <c:f>Calc!$O$86:$O$91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xVal>
          <c:yVal>
            <c:numRef>
              <c:f>Calc!$S$86:$S$91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E25-40C4-B041-77C238FBED31}"/>
            </c:ext>
          </c:extLst>
        </c:ser>
        <c:ser>
          <c:idx val="10"/>
          <c:order val="10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A-4E25-40C4-B041-77C238FBED31}"/>
            </c:ext>
          </c:extLst>
        </c:ser>
        <c:ser>
          <c:idx val="11"/>
          <c:order val="11"/>
          <c:spPr>
            <a:ln w="12700">
              <a:solidFill>
                <a:srgbClr val="FFFF99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99"/>
              </a:solidFill>
              <a:ln>
                <a:solidFill>
                  <a:srgbClr val="FFFF99"/>
                </a:solidFill>
                <a:prstDash val="solid"/>
              </a:ln>
            </c:spPr>
          </c:marker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B-4E25-40C4-B041-77C238FBED31}"/>
            </c:ext>
          </c:extLst>
        </c:ser>
        <c:ser>
          <c:idx val="12"/>
          <c:order val="12"/>
          <c:spPr>
            <a:ln w="12700">
              <a:solidFill>
                <a:srgbClr val="99CC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99CCFF"/>
                </a:solidFill>
                <a:prstDash val="solid"/>
              </a:ln>
            </c:spPr>
          </c:marker>
          <c:xVal>
            <c:numRef>
              <c:f>Calc!$O$92:$O$93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Calc!$R$92:$R$93</c:f>
              <c:numCache>
                <c:formatCode>General</c:formatCode>
                <c:ptCount val="2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E25-40C4-B041-77C238FBED31}"/>
            </c:ext>
          </c:extLst>
        </c:ser>
        <c:ser>
          <c:idx val="13"/>
          <c:order val="13"/>
          <c:spPr>
            <a:ln w="12700">
              <a:solidFill>
                <a:srgbClr val="FF99CC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FF99CC"/>
                </a:solidFill>
                <a:prstDash val="solid"/>
              </a:ln>
            </c:spPr>
          </c:marker>
          <c:xVal>
            <c:numRef>
              <c:f>Calc!$O$92:$O$93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Calc!$S$92:$S$93</c:f>
              <c:numCache>
                <c:formatCode>General</c:formatCode>
                <c:ptCount val="2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E25-40C4-B041-77C238FBED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8846415"/>
        <c:axId val="1"/>
      </c:scatterChart>
      <c:valAx>
        <c:axId val="38884641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dose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response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388846415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000000000000022" r="0.75000000000000022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95250</xdr:colOff>
      <xdr:row>9</xdr:row>
      <xdr:rowOff>133350</xdr:rowOff>
    </xdr:from>
    <xdr:to>
      <xdr:col>13</xdr:col>
      <xdr:colOff>1133475</xdr:colOff>
      <xdr:row>33</xdr:row>
      <xdr:rowOff>152400</xdr:rowOff>
    </xdr:to>
    <xdr:graphicFrame macro="">
      <xdr:nvGraphicFramePr>
        <xdr:cNvPr id="1094" name="Chart 2">
          <a:extLst>
            <a:ext uri="{FF2B5EF4-FFF2-40B4-BE49-F238E27FC236}">
              <a16:creationId xmlns:a16="http://schemas.microsoft.com/office/drawing/2014/main" id="{D479E91C-DEB7-42C0-ACFE-FF921AC325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90</xdr:row>
      <xdr:rowOff>0</xdr:rowOff>
    </xdr:from>
    <xdr:to>
      <xdr:col>22</xdr:col>
      <xdr:colOff>0</xdr:colOff>
      <xdr:row>107</xdr:row>
      <xdr:rowOff>0</xdr:rowOff>
    </xdr:to>
    <xdr:graphicFrame macro="">
      <xdr:nvGraphicFramePr>
        <xdr:cNvPr id="32946" name="Chart 8">
          <a:extLst>
            <a:ext uri="{FF2B5EF4-FFF2-40B4-BE49-F238E27FC236}">
              <a16:creationId xmlns:a16="http://schemas.microsoft.com/office/drawing/2014/main" id="{6501AC04-35DF-4021-B312-5E04B0EE5D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0</xdr:colOff>
      <xdr:row>90</xdr:row>
      <xdr:rowOff>0</xdr:rowOff>
    </xdr:from>
    <xdr:to>
      <xdr:col>22</xdr:col>
      <xdr:colOff>0</xdr:colOff>
      <xdr:row>107</xdr:row>
      <xdr:rowOff>0</xdr:rowOff>
    </xdr:to>
    <xdr:graphicFrame macro="">
      <xdr:nvGraphicFramePr>
        <xdr:cNvPr id="32947" name="Chart 11">
          <a:extLst>
            <a:ext uri="{FF2B5EF4-FFF2-40B4-BE49-F238E27FC236}">
              <a16:creationId xmlns:a16="http://schemas.microsoft.com/office/drawing/2014/main" id="{F4389854-BD0D-4AA0-9981-ADEF3898F1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0</xdr:colOff>
      <xdr:row>90</xdr:row>
      <xdr:rowOff>0</xdr:rowOff>
    </xdr:from>
    <xdr:to>
      <xdr:col>22</xdr:col>
      <xdr:colOff>0</xdr:colOff>
      <xdr:row>107</xdr:row>
      <xdr:rowOff>0</xdr:rowOff>
    </xdr:to>
    <xdr:graphicFrame macro="">
      <xdr:nvGraphicFramePr>
        <xdr:cNvPr id="32948" name="Chart 12">
          <a:extLst>
            <a:ext uri="{FF2B5EF4-FFF2-40B4-BE49-F238E27FC236}">
              <a16:creationId xmlns:a16="http://schemas.microsoft.com/office/drawing/2014/main" id="{7FE058CE-BA96-46F8-8C50-43978072A2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CN158"/>
  <sheetViews>
    <sheetView tabSelected="1" zoomScaleNormal="100" workbookViewId="0">
      <selection activeCell="C3" sqref="C3"/>
    </sheetView>
  </sheetViews>
  <sheetFormatPr defaultRowHeight="12.75" x14ac:dyDescent="0.2"/>
  <cols>
    <col min="1" max="1" width="2.7109375" style="93" customWidth="1"/>
    <col min="2" max="2" width="18.85546875" style="93" bestFit="1" customWidth="1"/>
    <col min="3" max="3" width="10.42578125" style="93" customWidth="1"/>
    <col min="4" max="8" width="8.7109375" style="93" customWidth="1"/>
    <col min="9" max="9" width="3.140625" style="93" customWidth="1"/>
    <col min="10" max="10" width="13.28515625" style="93" customWidth="1"/>
    <col min="11" max="11" width="2.7109375" style="93" customWidth="1"/>
    <col min="12" max="12" width="8.7109375" style="93" customWidth="1"/>
    <col min="13" max="13" width="17.140625" style="93" customWidth="1"/>
    <col min="14" max="14" width="19" style="93" customWidth="1"/>
    <col min="15" max="15" width="18.28515625" style="93" customWidth="1"/>
    <col min="16" max="16" width="16.85546875" style="93" customWidth="1"/>
    <col min="17" max="20" width="19.42578125" style="93" customWidth="1"/>
    <col min="21" max="24" width="19.42578125" customWidth="1"/>
    <col min="54" max="54" width="21.28515625" customWidth="1"/>
    <col min="59" max="59" width="21.28515625" customWidth="1"/>
    <col min="64" max="64" width="21.28515625" customWidth="1"/>
    <col min="69" max="69" width="21.28515625" customWidth="1"/>
    <col min="74" max="74" width="21.28515625" customWidth="1"/>
    <col min="79" max="79" width="21.28515625" customWidth="1"/>
    <col min="84" max="84" width="21.28515625" customWidth="1"/>
    <col min="89" max="89" width="21.28515625" customWidth="1"/>
    <col min="94" max="94" width="10.7109375" customWidth="1"/>
  </cols>
  <sheetData>
    <row r="1" spans="1:92" s="8" customFormat="1" ht="13.5" thickBot="1" x14ac:dyDescent="0.25">
      <c r="A1" s="172"/>
      <c r="B1" s="173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3"/>
      <c r="N1" s="175" t="s">
        <v>135</v>
      </c>
      <c r="O1" s="93"/>
      <c r="P1" s="93"/>
      <c r="Q1" s="93"/>
      <c r="R1" s="93"/>
      <c r="S1" s="93"/>
      <c r="T1" s="93"/>
      <c r="U1"/>
      <c r="V1"/>
      <c r="W1"/>
      <c r="X1"/>
    </row>
    <row r="2" spans="1:92" ht="16.5" customHeight="1" thickBot="1" x14ac:dyDescent="0.25">
      <c r="A2" s="176"/>
      <c r="B2" s="462" t="s">
        <v>24</v>
      </c>
      <c r="C2" s="463"/>
      <c r="D2" s="463"/>
      <c r="E2" s="463"/>
      <c r="F2" s="463"/>
      <c r="G2" s="463"/>
      <c r="H2" s="464"/>
      <c r="I2" s="177"/>
      <c r="J2" s="465" t="s">
        <v>61</v>
      </c>
      <c r="K2" s="466"/>
      <c r="L2" s="467"/>
      <c r="M2" s="177"/>
      <c r="N2" s="178"/>
    </row>
    <row r="3" spans="1:92" ht="12.75" customHeight="1" thickBot="1" x14ac:dyDescent="0.25">
      <c r="A3" s="176"/>
      <c r="B3" s="179" t="s">
        <v>92</v>
      </c>
      <c r="C3" s="141"/>
      <c r="D3" s="142"/>
      <c r="E3" s="142"/>
      <c r="F3" s="142"/>
      <c r="G3" s="142"/>
      <c r="H3" s="143"/>
      <c r="I3" s="180"/>
      <c r="J3" s="181"/>
      <c r="K3" s="181"/>
      <c r="L3" s="181"/>
      <c r="M3" s="182"/>
      <c r="N3" s="183"/>
      <c r="O3" s="311"/>
    </row>
    <row r="4" spans="1:92" ht="12.75" customHeight="1" x14ac:dyDescent="0.2">
      <c r="A4" s="176"/>
      <c r="B4" s="184" t="s">
        <v>3</v>
      </c>
      <c r="C4" s="125"/>
      <c r="D4" s="1"/>
      <c r="E4" s="1"/>
      <c r="F4" s="1"/>
      <c r="G4" s="1"/>
      <c r="H4" s="135"/>
      <c r="I4" s="180"/>
      <c r="J4" s="172"/>
      <c r="K4" s="186"/>
      <c r="L4" s="450"/>
      <c r="M4" s="182"/>
      <c r="N4" s="183"/>
      <c r="AY4" s="1"/>
      <c r="AZ4" s="1"/>
      <c r="BA4" s="1"/>
      <c r="BB4" s="3"/>
      <c r="BC4" s="1"/>
      <c r="BD4" s="1"/>
      <c r="BE4" s="1"/>
      <c r="BF4" s="1"/>
      <c r="BG4" s="3"/>
      <c r="BH4" s="1"/>
      <c r="BI4" s="1"/>
      <c r="BJ4" s="1"/>
      <c r="BK4" s="1"/>
      <c r="BL4" s="3"/>
      <c r="BM4" s="1"/>
      <c r="BN4" s="1"/>
      <c r="BO4" s="1"/>
      <c r="BP4" s="1"/>
      <c r="BQ4" s="3"/>
      <c r="BR4" s="1"/>
      <c r="BS4" s="1"/>
      <c r="BT4" s="1"/>
      <c r="BU4" s="1"/>
      <c r="BV4" s="3"/>
      <c r="BW4" s="1"/>
      <c r="BX4" s="1"/>
      <c r="BY4" s="1"/>
      <c r="BZ4" s="1"/>
      <c r="CA4" s="3"/>
      <c r="CB4" s="1"/>
      <c r="CC4" s="1"/>
      <c r="CD4" s="1"/>
      <c r="CE4" s="1"/>
      <c r="CF4" s="3"/>
      <c r="CG4" s="1"/>
      <c r="CH4" s="1"/>
      <c r="CI4" s="1"/>
      <c r="CJ4" s="1"/>
      <c r="CK4" s="3"/>
      <c r="CL4" s="1"/>
      <c r="CM4" s="1"/>
      <c r="CN4" s="1"/>
    </row>
    <row r="5" spans="1:92" ht="12.75" customHeight="1" x14ac:dyDescent="0.2">
      <c r="A5" s="176"/>
      <c r="B5" s="187"/>
      <c r="C5" s="125"/>
      <c r="D5" s="1"/>
      <c r="E5" s="1"/>
      <c r="F5" s="1"/>
      <c r="G5" s="1"/>
      <c r="H5" s="136"/>
      <c r="I5" s="180"/>
      <c r="J5" s="176"/>
      <c r="K5" s="185"/>
      <c r="L5" s="450"/>
      <c r="M5" s="182"/>
      <c r="N5" s="183"/>
      <c r="AY5" s="1"/>
      <c r="AZ5" s="1"/>
      <c r="BA5" s="1"/>
      <c r="BB5" s="2"/>
      <c r="BC5" s="1"/>
      <c r="BD5" s="1"/>
      <c r="BE5" s="1"/>
      <c r="BF5" s="1"/>
      <c r="BG5" s="2"/>
      <c r="BH5" s="1"/>
      <c r="BI5" s="1"/>
      <c r="BJ5" s="1"/>
      <c r="BK5" s="1"/>
      <c r="BL5" s="2"/>
      <c r="BM5" s="1"/>
      <c r="BN5" s="1"/>
      <c r="BO5" s="1"/>
      <c r="BP5" s="1"/>
      <c r="BQ5" s="2"/>
      <c r="BR5" s="1"/>
      <c r="BS5" s="1"/>
      <c r="BT5" s="1"/>
      <c r="BU5" s="1"/>
      <c r="BV5" s="2"/>
      <c r="BW5" s="1"/>
      <c r="BX5" s="1"/>
      <c r="BY5" s="1"/>
      <c r="BZ5" s="1"/>
      <c r="CA5" s="2"/>
      <c r="CB5" s="1"/>
      <c r="CC5" s="1"/>
      <c r="CD5" s="1"/>
      <c r="CE5" s="1"/>
      <c r="CF5" s="2"/>
      <c r="CG5" s="1"/>
      <c r="CH5" s="1"/>
      <c r="CI5" s="1"/>
      <c r="CJ5" s="1"/>
      <c r="CK5" s="2"/>
      <c r="CL5" s="1"/>
      <c r="CM5" s="1"/>
      <c r="CN5" s="1"/>
    </row>
    <row r="6" spans="1:92" ht="12.75" customHeight="1" x14ac:dyDescent="0.2">
      <c r="A6" s="176"/>
      <c r="B6" s="187"/>
      <c r="C6" s="125"/>
      <c r="D6" s="1"/>
      <c r="E6" s="1"/>
      <c r="F6" s="1"/>
      <c r="G6" s="1"/>
      <c r="H6" s="136"/>
      <c r="I6" s="180"/>
      <c r="J6" s="176"/>
      <c r="K6" s="185"/>
      <c r="L6" s="451"/>
      <c r="M6" s="182"/>
      <c r="N6" s="183"/>
      <c r="AY6" s="1"/>
      <c r="AZ6" s="1"/>
      <c r="BA6" s="1"/>
      <c r="BB6" s="2"/>
      <c r="BC6" s="1"/>
      <c r="BD6" s="1"/>
      <c r="BE6" s="1"/>
      <c r="BF6" s="1"/>
      <c r="BG6" s="2"/>
      <c r="BH6" s="1"/>
      <c r="BI6" s="1"/>
      <c r="BJ6" s="1"/>
      <c r="BK6" s="1"/>
      <c r="BL6" s="2"/>
      <c r="BM6" s="1"/>
      <c r="BN6" s="1"/>
      <c r="BO6" s="1"/>
      <c r="BP6" s="1"/>
      <c r="BQ6" s="2"/>
      <c r="BR6" s="1"/>
      <c r="BS6" s="1"/>
      <c r="BT6" s="1"/>
      <c r="BU6" s="1"/>
      <c r="BV6" s="2"/>
      <c r="BW6" s="1"/>
      <c r="BX6" s="1"/>
      <c r="BY6" s="1"/>
      <c r="BZ6" s="1"/>
      <c r="CA6" s="2"/>
      <c r="CB6" s="1"/>
      <c r="CC6" s="1"/>
      <c r="CD6" s="1"/>
      <c r="CE6" s="1"/>
      <c r="CF6" s="2"/>
      <c r="CG6" s="1"/>
      <c r="CH6" s="1"/>
      <c r="CI6" s="1"/>
      <c r="CJ6" s="1"/>
      <c r="CK6" s="2"/>
      <c r="CL6" s="1"/>
      <c r="CM6" s="1"/>
      <c r="CN6" s="1"/>
    </row>
    <row r="7" spans="1:92" ht="12.75" customHeight="1" x14ac:dyDescent="0.2">
      <c r="A7" s="176"/>
      <c r="B7" s="187"/>
      <c r="C7" s="125"/>
      <c r="D7" s="1"/>
      <c r="E7" s="1"/>
      <c r="F7" s="1"/>
      <c r="G7" s="9"/>
      <c r="H7" s="136"/>
      <c r="I7" s="180"/>
      <c r="J7" s="176"/>
      <c r="K7" s="185"/>
      <c r="L7" s="451"/>
      <c r="M7" s="182"/>
      <c r="N7" s="183"/>
      <c r="AY7" s="1"/>
      <c r="AZ7" s="1"/>
      <c r="BA7" s="1"/>
      <c r="BB7" s="2"/>
      <c r="BC7" s="1"/>
      <c r="BD7" s="1"/>
      <c r="BE7" s="1"/>
      <c r="BF7" s="1"/>
      <c r="BG7" s="2"/>
      <c r="BH7" s="1"/>
      <c r="BI7" s="1"/>
      <c r="BJ7" s="1"/>
      <c r="BK7" s="1"/>
      <c r="BL7" s="2"/>
      <c r="BM7" s="1"/>
      <c r="BN7" s="1"/>
      <c r="BO7" s="1"/>
      <c r="BP7" s="1"/>
      <c r="BQ7" s="2"/>
      <c r="BR7" s="1"/>
      <c r="BS7" s="1"/>
      <c r="BT7" s="1"/>
      <c r="BU7" s="1"/>
      <c r="BV7" s="2"/>
      <c r="BW7" s="1"/>
      <c r="BX7" s="1"/>
      <c r="BY7" s="1"/>
      <c r="BZ7" s="1"/>
      <c r="CA7" s="2"/>
      <c r="CB7" s="1"/>
      <c r="CC7" s="1"/>
      <c r="CD7" s="1"/>
      <c r="CE7" s="1"/>
      <c r="CF7" s="2"/>
      <c r="CG7" s="1"/>
      <c r="CH7" s="1"/>
      <c r="CI7" s="1"/>
      <c r="CJ7" s="1"/>
      <c r="CK7" s="2"/>
      <c r="CL7" s="1"/>
      <c r="CM7" s="1"/>
      <c r="CN7" s="1"/>
    </row>
    <row r="8" spans="1:92" ht="12.75" customHeight="1" x14ac:dyDescent="0.2">
      <c r="A8" s="176"/>
      <c r="B8" s="187"/>
      <c r="C8" s="125"/>
      <c r="D8" s="1"/>
      <c r="E8" s="1"/>
      <c r="F8" s="1"/>
      <c r="G8" s="9"/>
      <c r="H8" s="136"/>
      <c r="I8" s="180"/>
      <c r="J8" s="176"/>
      <c r="K8" s="185"/>
      <c r="L8" s="451"/>
      <c r="M8" s="182"/>
      <c r="N8" s="183"/>
      <c r="AY8" s="5"/>
      <c r="AZ8" s="1"/>
      <c r="BA8" s="1"/>
      <c r="BB8" s="1"/>
      <c r="BC8" s="1"/>
      <c r="BD8" s="5"/>
      <c r="BE8" s="1"/>
      <c r="BF8" s="1"/>
      <c r="BG8" s="1"/>
      <c r="BH8" s="1"/>
      <c r="BI8" s="5"/>
      <c r="BJ8" s="1"/>
      <c r="BK8" s="1"/>
      <c r="BL8" s="1"/>
      <c r="BM8" s="1"/>
      <c r="BN8" s="5"/>
      <c r="BO8" s="1"/>
      <c r="BP8" s="1"/>
      <c r="BQ8" s="1"/>
      <c r="BR8" s="1"/>
      <c r="BS8" s="5"/>
      <c r="BT8" s="1"/>
      <c r="BU8" s="1"/>
      <c r="BV8" s="1"/>
      <c r="BW8" s="1"/>
      <c r="BX8" s="5"/>
      <c r="BY8" s="1"/>
      <c r="BZ8" s="1"/>
      <c r="CA8" s="1"/>
      <c r="CB8" s="1"/>
      <c r="CC8" s="5"/>
      <c r="CD8" s="1"/>
      <c r="CE8" s="1"/>
      <c r="CF8" s="1"/>
      <c r="CG8" s="1"/>
      <c r="CH8" s="5"/>
      <c r="CI8" s="1"/>
      <c r="CJ8" s="1"/>
      <c r="CK8" s="1"/>
      <c r="CL8" s="1"/>
      <c r="CM8" s="5"/>
      <c r="CN8" s="1"/>
    </row>
    <row r="9" spans="1:92" ht="12.75" customHeight="1" thickBot="1" x14ac:dyDescent="0.25">
      <c r="A9" s="176"/>
      <c r="B9" s="188"/>
      <c r="C9" s="126"/>
      <c r="D9" s="92"/>
      <c r="E9" s="92"/>
      <c r="F9" s="92"/>
      <c r="G9" s="92"/>
      <c r="H9" s="137"/>
      <c r="I9" s="180"/>
      <c r="J9" s="189"/>
      <c r="K9" s="191"/>
      <c r="L9" s="451"/>
      <c r="M9" s="182"/>
      <c r="N9" s="183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</row>
    <row r="10" spans="1:92" ht="12.75" customHeight="1" thickBot="1" x14ac:dyDescent="0.25">
      <c r="A10" s="176"/>
      <c r="B10" s="181"/>
      <c r="C10" s="181"/>
      <c r="D10" s="181"/>
      <c r="E10" s="181"/>
      <c r="F10" s="181"/>
      <c r="G10" s="181"/>
      <c r="H10" s="181"/>
      <c r="I10" s="192"/>
      <c r="J10" s="181"/>
      <c r="K10" s="181"/>
      <c r="L10" s="181"/>
      <c r="M10" s="182"/>
      <c r="N10" s="183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</row>
    <row r="11" spans="1:92" ht="16.5" customHeight="1" thickBot="1" x14ac:dyDescent="0.25">
      <c r="A11" s="176"/>
      <c r="B11" s="468" t="s">
        <v>68</v>
      </c>
      <c r="C11" s="469"/>
      <c r="D11" s="469"/>
      <c r="E11" s="469"/>
      <c r="F11" s="469"/>
      <c r="G11" s="469"/>
      <c r="H11" s="470"/>
      <c r="I11" s="192"/>
      <c r="J11" s="181"/>
      <c r="K11" s="181"/>
      <c r="L11" s="181"/>
      <c r="M11" s="182"/>
      <c r="N11" s="183"/>
      <c r="AY11" s="4"/>
      <c r="AZ11" s="4"/>
      <c r="BA11" s="1"/>
      <c r="BB11" s="3"/>
      <c r="BC11" s="4"/>
      <c r="BD11" s="4"/>
      <c r="BE11" s="4"/>
      <c r="BF11" s="1"/>
      <c r="BG11" s="3"/>
      <c r="BH11" s="4"/>
      <c r="BI11" s="4"/>
      <c r="BJ11" s="4"/>
      <c r="BK11" s="1"/>
      <c r="BL11" s="3"/>
      <c r="BM11" s="4"/>
      <c r="BN11" s="4"/>
      <c r="BO11" s="4"/>
      <c r="BP11" s="1"/>
      <c r="BQ11" s="3"/>
      <c r="BR11" s="4"/>
      <c r="BS11" s="4"/>
      <c r="BT11" s="4"/>
      <c r="BU11" s="1"/>
      <c r="BV11" s="3"/>
      <c r="BW11" s="4"/>
      <c r="BX11" s="4"/>
      <c r="BY11" s="4"/>
      <c r="BZ11" s="1"/>
      <c r="CA11" s="3"/>
      <c r="CB11" s="4"/>
      <c r="CC11" s="4"/>
      <c r="CD11" s="4"/>
      <c r="CE11" s="1"/>
      <c r="CF11" s="3"/>
      <c r="CG11" s="4"/>
      <c r="CH11" s="4"/>
      <c r="CI11" s="4"/>
      <c r="CJ11" s="1"/>
      <c r="CK11" s="3"/>
      <c r="CL11" s="4"/>
      <c r="CM11" s="4"/>
      <c r="CN11" s="4"/>
    </row>
    <row r="12" spans="1:92" ht="12.75" customHeight="1" thickBot="1" x14ac:dyDescent="0.25">
      <c r="A12" s="176"/>
      <c r="B12" s="193" t="s">
        <v>5</v>
      </c>
      <c r="C12" s="141"/>
      <c r="D12" s="142"/>
      <c r="E12" s="142"/>
      <c r="F12" s="142"/>
      <c r="G12" s="142"/>
      <c r="H12" s="143"/>
      <c r="I12" s="192"/>
      <c r="J12" s="181"/>
      <c r="K12" s="181"/>
      <c r="L12" s="181"/>
      <c r="M12" s="182"/>
      <c r="N12" s="183"/>
      <c r="AY12" s="4"/>
      <c r="AZ12" s="4"/>
      <c r="BA12" s="1"/>
      <c r="BB12" s="3"/>
      <c r="BC12" s="4"/>
      <c r="BD12" s="4"/>
      <c r="BE12" s="4"/>
      <c r="BF12" s="1"/>
      <c r="BG12" s="3"/>
      <c r="BH12" s="4"/>
      <c r="BI12" s="4"/>
      <c r="BJ12" s="4"/>
      <c r="BK12" s="1"/>
      <c r="BL12" s="3"/>
      <c r="BM12" s="4"/>
      <c r="BN12" s="4"/>
      <c r="BO12" s="4"/>
      <c r="BP12" s="1"/>
      <c r="BQ12" s="3"/>
      <c r="BR12" s="4"/>
      <c r="BS12" s="4"/>
      <c r="BT12" s="4"/>
      <c r="BU12" s="1"/>
      <c r="BV12" s="3"/>
      <c r="BW12" s="4"/>
      <c r="BX12" s="4"/>
      <c r="BY12" s="4"/>
      <c r="BZ12" s="1"/>
      <c r="CA12" s="3"/>
      <c r="CB12" s="4"/>
      <c r="CC12" s="4"/>
      <c r="CD12" s="4"/>
      <c r="CE12" s="1"/>
      <c r="CF12" s="3"/>
      <c r="CG12" s="4"/>
      <c r="CH12" s="4"/>
      <c r="CI12" s="4"/>
      <c r="CJ12" s="1"/>
      <c r="CK12" s="3"/>
      <c r="CL12" s="4"/>
      <c r="CM12" s="4"/>
      <c r="CN12" s="4"/>
    </row>
    <row r="13" spans="1:92" ht="12.75" customHeight="1" x14ac:dyDescent="0.2">
      <c r="A13" s="176"/>
      <c r="B13" s="194" t="s">
        <v>4</v>
      </c>
      <c r="C13" s="125"/>
      <c r="D13" s="1"/>
      <c r="E13" s="1"/>
      <c r="F13" s="381"/>
      <c r="G13" s="381"/>
      <c r="H13" s="382"/>
      <c r="I13" s="192"/>
      <c r="J13" s="181"/>
      <c r="K13" s="181"/>
      <c r="L13" s="181"/>
      <c r="M13" s="195"/>
      <c r="N13" s="196"/>
      <c r="AY13" s="4"/>
      <c r="AZ13" s="4"/>
      <c r="BA13" s="1"/>
      <c r="BB13" s="1"/>
      <c r="BC13" s="4"/>
      <c r="BD13" s="4"/>
      <c r="BE13" s="4"/>
      <c r="BF13" s="1"/>
      <c r="BG13" s="1"/>
      <c r="BH13" s="4"/>
      <c r="BI13" s="4"/>
      <c r="BJ13" s="4"/>
      <c r="BK13" s="1"/>
      <c r="BL13" s="1"/>
      <c r="BM13" s="4"/>
      <c r="BN13" s="4"/>
      <c r="BO13" s="4"/>
      <c r="BP13" s="1"/>
      <c r="BQ13" s="1"/>
      <c r="BR13" s="4"/>
      <c r="BS13" s="4"/>
      <c r="BT13" s="4"/>
      <c r="BU13" s="1"/>
      <c r="BV13" s="1"/>
      <c r="BW13" s="4"/>
      <c r="BX13" s="4"/>
      <c r="BY13" s="4"/>
      <c r="BZ13" s="1"/>
      <c r="CA13" s="1"/>
      <c r="CB13" s="4"/>
      <c r="CC13" s="4"/>
      <c r="CD13" s="4"/>
      <c r="CE13" s="1"/>
      <c r="CF13" s="1"/>
      <c r="CG13" s="4"/>
      <c r="CH13" s="4"/>
      <c r="CI13" s="4"/>
      <c r="CJ13" s="1"/>
      <c r="CK13" s="1"/>
      <c r="CL13" s="4"/>
      <c r="CM13" s="4"/>
      <c r="CN13" s="4"/>
    </row>
    <row r="14" spans="1:92" ht="12.75" customHeight="1" x14ac:dyDescent="0.2">
      <c r="A14" s="176"/>
      <c r="B14" s="197"/>
      <c r="C14" s="125"/>
      <c r="D14" s="1"/>
      <c r="E14" s="1"/>
      <c r="F14" s="9"/>
      <c r="G14" s="9"/>
      <c r="H14" s="85"/>
      <c r="I14" s="192"/>
      <c r="J14" s="181"/>
      <c r="K14" s="181"/>
      <c r="L14" s="181"/>
      <c r="M14" s="195"/>
      <c r="N14" s="196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</row>
    <row r="15" spans="1:92" ht="12.75" customHeight="1" x14ac:dyDescent="0.2">
      <c r="A15" s="176"/>
      <c r="B15" s="197"/>
      <c r="C15" s="125"/>
      <c r="D15" s="1"/>
      <c r="E15" s="1"/>
      <c r="F15" s="1"/>
      <c r="G15" s="1"/>
      <c r="H15" s="85"/>
      <c r="I15" s="192"/>
      <c r="J15" s="181"/>
      <c r="K15" s="181"/>
      <c r="L15" s="181"/>
      <c r="M15" s="195"/>
      <c r="N15" s="196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</row>
    <row r="16" spans="1:92" ht="12.75" customHeight="1" x14ac:dyDescent="0.2">
      <c r="A16" s="176"/>
      <c r="B16" s="197"/>
      <c r="C16" s="125"/>
      <c r="D16" s="1"/>
      <c r="E16" s="1"/>
      <c r="F16" s="1"/>
      <c r="G16" s="1"/>
      <c r="H16" s="85"/>
      <c r="I16" s="192"/>
      <c r="J16" s="181"/>
      <c r="K16" s="181"/>
      <c r="L16" s="181"/>
      <c r="M16" s="195"/>
      <c r="N16" s="196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</row>
    <row r="17" spans="1:92" ht="12.75" customHeight="1" x14ac:dyDescent="0.2">
      <c r="A17" s="176"/>
      <c r="B17" s="197"/>
      <c r="C17" s="125"/>
      <c r="D17" s="1"/>
      <c r="E17" s="1"/>
      <c r="F17" s="1"/>
      <c r="G17" s="1"/>
      <c r="H17" s="85"/>
      <c r="I17" s="192"/>
      <c r="J17" s="181"/>
      <c r="K17" s="181"/>
      <c r="L17" s="181"/>
      <c r="M17" s="195"/>
      <c r="N17" s="196"/>
      <c r="AY17" s="4"/>
      <c r="AZ17" s="4"/>
      <c r="BA17" s="1"/>
      <c r="BB17" s="3"/>
      <c r="BC17" s="4"/>
      <c r="BD17" s="4"/>
      <c r="BE17" s="4"/>
      <c r="BF17" s="1"/>
      <c r="BG17" s="3"/>
      <c r="BH17" s="4"/>
      <c r="BI17" s="4"/>
      <c r="BJ17" s="4"/>
      <c r="BK17" s="1"/>
      <c r="BL17" s="3"/>
      <c r="BM17" s="4"/>
      <c r="BN17" s="4"/>
      <c r="BO17" s="4"/>
      <c r="BP17" s="1"/>
      <c r="BQ17" s="3"/>
      <c r="BR17" s="4"/>
      <c r="BS17" s="4"/>
      <c r="BT17" s="4"/>
      <c r="BU17" s="1"/>
      <c r="BV17" s="3"/>
      <c r="BW17" s="4"/>
      <c r="BX17" s="4"/>
      <c r="BY17" s="4"/>
      <c r="BZ17" s="1"/>
      <c r="CA17" s="3"/>
      <c r="CB17" s="4"/>
      <c r="CC17" s="4"/>
      <c r="CD17" s="4"/>
      <c r="CE17" s="1"/>
      <c r="CF17" s="3"/>
      <c r="CG17" s="4"/>
      <c r="CH17" s="4"/>
      <c r="CI17" s="4"/>
      <c r="CJ17" s="1"/>
      <c r="CK17" s="3"/>
      <c r="CL17" s="4"/>
      <c r="CM17" s="4"/>
      <c r="CN17" s="4"/>
    </row>
    <row r="18" spans="1:92" ht="12.75" customHeight="1" thickBot="1" x14ac:dyDescent="0.25">
      <c r="A18" s="176"/>
      <c r="B18" s="198"/>
      <c r="C18" s="126"/>
      <c r="D18" s="92"/>
      <c r="E18" s="92"/>
      <c r="F18" s="92"/>
      <c r="G18" s="92"/>
      <c r="H18" s="137"/>
      <c r="I18" s="192"/>
      <c r="J18" s="181"/>
      <c r="K18" s="181"/>
      <c r="L18" s="181"/>
      <c r="M18" s="195"/>
      <c r="N18" s="196"/>
      <c r="AY18" s="4"/>
      <c r="AZ18" s="4"/>
      <c r="BA18" s="1"/>
      <c r="BB18" s="3"/>
      <c r="BC18" s="4"/>
      <c r="BD18" s="4"/>
      <c r="BE18" s="4"/>
      <c r="BF18" s="1"/>
      <c r="BG18" s="3"/>
      <c r="BH18" s="4"/>
      <c r="BI18" s="4"/>
      <c r="BJ18" s="4"/>
      <c r="BK18" s="1"/>
      <c r="BL18" s="3"/>
      <c r="BM18" s="4"/>
      <c r="BN18" s="4"/>
      <c r="BO18" s="4"/>
      <c r="BP18" s="1"/>
      <c r="BQ18" s="3"/>
      <c r="BR18" s="4"/>
      <c r="BS18" s="4"/>
      <c r="BT18" s="4"/>
      <c r="BU18" s="1"/>
      <c r="BV18" s="3"/>
      <c r="BW18" s="4"/>
      <c r="BX18" s="4"/>
      <c r="BY18" s="4"/>
      <c r="BZ18" s="1"/>
      <c r="CA18" s="3"/>
      <c r="CB18" s="4"/>
      <c r="CC18" s="4"/>
      <c r="CD18" s="4"/>
      <c r="CE18" s="1"/>
      <c r="CF18" s="3"/>
      <c r="CG18" s="4"/>
      <c r="CH18" s="4"/>
      <c r="CI18" s="4"/>
      <c r="CJ18" s="1"/>
      <c r="CK18" s="3"/>
      <c r="CL18" s="4"/>
      <c r="CM18" s="4"/>
      <c r="CN18" s="4"/>
    </row>
    <row r="19" spans="1:92" ht="12.75" customHeight="1" thickBot="1" x14ac:dyDescent="0.25">
      <c r="A19" s="176"/>
      <c r="B19" s="181"/>
      <c r="C19" s="181"/>
      <c r="D19" s="181"/>
      <c r="E19" s="181"/>
      <c r="F19" s="181"/>
      <c r="G19" s="181"/>
      <c r="H19" s="181"/>
      <c r="I19" s="199"/>
      <c r="J19" s="181"/>
      <c r="K19" s="181"/>
      <c r="L19" s="181"/>
      <c r="M19" s="195"/>
      <c r="N19" s="196"/>
      <c r="AY19" s="4"/>
      <c r="AZ19" s="4"/>
      <c r="BA19" s="1"/>
      <c r="BB19" s="3"/>
      <c r="BC19" s="4"/>
      <c r="BD19" s="4"/>
      <c r="BE19" s="4"/>
      <c r="BF19" s="1"/>
      <c r="BG19" s="3"/>
      <c r="BH19" s="4"/>
      <c r="BI19" s="4"/>
      <c r="BJ19" s="4"/>
      <c r="BK19" s="1"/>
      <c r="BL19" s="3"/>
      <c r="BM19" s="4"/>
      <c r="BN19" s="4"/>
      <c r="BO19" s="4"/>
      <c r="BP19" s="1"/>
      <c r="BQ19" s="3"/>
      <c r="BR19" s="4"/>
      <c r="BS19" s="4"/>
      <c r="BT19" s="4"/>
      <c r="BU19" s="1"/>
      <c r="BV19" s="3"/>
      <c r="BW19" s="4"/>
      <c r="BX19" s="4"/>
      <c r="BY19" s="4"/>
      <c r="BZ19" s="1"/>
      <c r="CA19" s="3"/>
      <c r="CB19" s="4"/>
      <c r="CC19" s="4"/>
      <c r="CD19" s="4"/>
      <c r="CE19" s="1"/>
      <c r="CF19" s="3"/>
      <c r="CG19" s="4"/>
      <c r="CH19" s="4"/>
      <c r="CI19" s="4"/>
      <c r="CJ19" s="1"/>
      <c r="CK19" s="3"/>
      <c r="CL19" s="4"/>
      <c r="CM19" s="4"/>
      <c r="CN19" s="4"/>
    </row>
    <row r="20" spans="1:92" ht="12.75" customHeight="1" x14ac:dyDescent="0.2">
      <c r="A20" s="176"/>
      <c r="B20" s="200" t="s">
        <v>120</v>
      </c>
      <c r="C20" s="471"/>
      <c r="D20" s="472"/>
      <c r="E20" s="201"/>
      <c r="F20" s="201"/>
      <c r="G20" s="181"/>
      <c r="H20" s="181"/>
      <c r="I20" s="199"/>
      <c r="J20" s="181"/>
      <c r="K20" s="181"/>
      <c r="L20" s="181"/>
      <c r="M20" s="195"/>
      <c r="N20" s="196"/>
      <c r="AY20" s="4"/>
      <c r="AZ20" s="4"/>
      <c r="BA20" s="1"/>
      <c r="BB20" s="3"/>
      <c r="BC20" s="4"/>
      <c r="BD20" s="4"/>
      <c r="BE20" s="4"/>
      <c r="BF20" s="1"/>
      <c r="BG20" s="3"/>
      <c r="BH20" s="4"/>
      <c r="BI20" s="4"/>
      <c r="BJ20" s="4"/>
      <c r="BK20" s="1"/>
      <c r="BL20" s="3"/>
      <c r="BM20" s="4"/>
      <c r="BN20" s="4"/>
      <c r="BO20" s="4"/>
      <c r="BP20" s="1"/>
      <c r="BQ20" s="3"/>
      <c r="BR20" s="4"/>
      <c r="BS20" s="4"/>
      <c r="BT20" s="4"/>
      <c r="BU20" s="1"/>
      <c r="BV20" s="3"/>
      <c r="BW20" s="4"/>
      <c r="BX20" s="4"/>
      <c r="BY20" s="4"/>
      <c r="BZ20" s="1"/>
      <c r="CA20" s="3"/>
      <c r="CB20" s="4"/>
      <c r="CC20" s="4"/>
      <c r="CD20" s="4"/>
      <c r="CE20" s="1"/>
      <c r="CF20" s="3"/>
      <c r="CG20" s="4"/>
      <c r="CH20" s="4"/>
      <c r="CI20" s="4"/>
      <c r="CJ20" s="1"/>
      <c r="CK20" s="3"/>
      <c r="CL20" s="4"/>
      <c r="CM20" s="4"/>
      <c r="CN20" s="4"/>
    </row>
    <row r="21" spans="1:92" ht="12.75" customHeight="1" thickBot="1" x14ac:dyDescent="0.25">
      <c r="A21" s="176"/>
      <c r="B21" s="202" t="s">
        <v>25</v>
      </c>
      <c r="C21" s="228">
        <v>1</v>
      </c>
      <c r="D21" s="191"/>
      <c r="E21" s="201"/>
      <c r="F21" s="201"/>
      <c r="G21" s="181"/>
      <c r="H21" s="181"/>
      <c r="I21" s="201"/>
      <c r="J21" s="181"/>
      <c r="K21" s="181"/>
      <c r="L21" s="181"/>
      <c r="M21" s="195"/>
      <c r="N21" s="196"/>
    </row>
    <row r="22" spans="1:92" ht="12.75" customHeight="1" thickBot="1" x14ac:dyDescent="0.25">
      <c r="A22" s="176"/>
      <c r="B22" s="203"/>
      <c r="C22" s="180"/>
      <c r="D22" s="201"/>
      <c r="E22" s="201"/>
      <c r="F22" s="201"/>
      <c r="G22" s="181"/>
      <c r="H22" s="181"/>
      <c r="I22" s="201"/>
      <c r="J22" s="181"/>
      <c r="K22" s="181"/>
      <c r="L22" s="181"/>
      <c r="M22" s="195"/>
      <c r="N22" s="196"/>
    </row>
    <row r="23" spans="1:92" ht="12.75" customHeight="1" x14ac:dyDescent="0.2">
      <c r="A23" s="176"/>
      <c r="B23" s="204" t="s">
        <v>119</v>
      </c>
      <c r="C23" s="181"/>
      <c r="D23" s="309" t="s">
        <v>25</v>
      </c>
      <c r="E23" s="205">
        <v>-0.95</v>
      </c>
      <c r="F23" s="206">
        <v>0.95</v>
      </c>
      <c r="G23" s="181"/>
      <c r="H23" s="181"/>
      <c r="I23" s="201"/>
      <c r="J23" s="181"/>
      <c r="K23" s="181"/>
      <c r="L23" s="181"/>
      <c r="M23" s="195"/>
      <c r="N23" s="196"/>
    </row>
    <row r="24" spans="1:92" ht="17.25" customHeight="1" thickBot="1" x14ac:dyDescent="0.25">
      <c r="A24" s="176"/>
      <c r="B24" s="230">
        <v>1</v>
      </c>
      <c r="C24" s="181"/>
      <c r="D24" s="454" t="e">
        <f>$C$21*B24*Calc!P59</f>
        <v>#DIV/0!</v>
      </c>
      <c r="E24" s="452" t="e">
        <f>$C$21*B24*Calc!P61</f>
        <v>#DIV/0!</v>
      </c>
      <c r="F24" s="453" t="e">
        <f>$C$21*B24*Calc!P60</f>
        <v>#DIV/0!</v>
      </c>
      <c r="G24" s="181"/>
      <c r="H24" s="181"/>
      <c r="I24" s="201"/>
      <c r="J24" s="181"/>
      <c r="K24" s="181"/>
      <c r="L24" s="181"/>
      <c r="M24" s="195"/>
      <c r="N24" s="196"/>
    </row>
    <row r="25" spans="1:92" ht="12.75" customHeight="1" thickBot="1" x14ac:dyDescent="0.25">
      <c r="A25" s="176"/>
      <c r="B25" s="181"/>
      <c r="C25" s="181"/>
      <c r="D25" s="181"/>
      <c r="E25" s="181"/>
      <c r="F25" s="181"/>
      <c r="G25" s="181"/>
      <c r="H25" s="181"/>
      <c r="I25" s="201"/>
      <c r="J25" s="181"/>
      <c r="K25" s="181"/>
      <c r="L25" s="181"/>
      <c r="M25" s="182"/>
      <c r="N25" s="183"/>
    </row>
    <row r="26" spans="1:92" ht="12.75" customHeight="1" x14ac:dyDescent="0.2">
      <c r="A26" s="176"/>
      <c r="B26" s="172"/>
      <c r="C26" s="207" t="s">
        <v>117</v>
      </c>
      <c r="D26" s="207" t="s">
        <v>118</v>
      </c>
      <c r="E26" s="455"/>
      <c r="F26" s="181"/>
      <c r="G26" s="181"/>
      <c r="H26" s="181"/>
      <c r="I26" s="201"/>
      <c r="J26" s="181"/>
      <c r="K26" s="181"/>
      <c r="L26" s="181"/>
      <c r="M26" s="182"/>
      <c r="N26" s="183"/>
    </row>
    <row r="27" spans="1:92" ht="12.75" customHeight="1" x14ac:dyDescent="0.2">
      <c r="A27" s="176"/>
      <c r="B27" s="208" t="s">
        <v>61</v>
      </c>
      <c r="C27" s="209" t="e">
        <f>+Calc!S77</f>
        <v>#DIV/0!</v>
      </c>
      <c r="D27" s="210" t="e">
        <f>+Calc!T77</f>
        <v>#NUM!</v>
      </c>
      <c r="E27" s="211" t="e">
        <f>IF(C27&gt;D27,"Error","Ok")</f>
        <v>#DIV/0!</v>
      </c>
      <c r="F27" s="181"/>
      <c r="G27" s="181"/>
      <c r="H27" s="181"/>
      <c r="I27" s="201"/>
      <c r="J27" s="181"/>
      <c r="K27" s="181"/>
      <c r="L27" s="181"/>
      <c r="M27" s="182"/>
      <c r="N27" s="183"/>
    </row>
    <row r="28" spans="1:92" x14ac:dyDescent="0.2">
      <c r="A28" s="176"/>
      <c r="B28" s="212" t="s">
        <v>63</v>
      </c>
      <c r="C28" s="209" t="e">
        <f>+Calc!S78</f>
        <v>#DIV/0!</v>
      </c>
      <c r="D28" s="210" t="e">
        <f>+Calc!T78</f>
        <v>#NUM!</v>
      </c>
      <c r="E28" s="213" t="e">
        <f>IF(C28&gt;D28,"Error","Ok")</f>
        <v>#DIV/0!</v>
      </c>
      <c r="F28" s="181"/>
      <c r="G28" s="201"/>
      <c r="H28" s="201"/>
      <c r="I28" s="201"/>
      <c r="J28" s="181"/>
      <c r="K28" s="181"/>
      <c r="L28" s="181"/>
      <c r="M28" s="182"/>
      <c r="N28" s="183"/>
    </row>
    <row r="29" spans="1:92" ht="13.5" thickBot="1" x14ac:dyDescent="0.25">
      <c r="A29" s="176"/>
      <c r="B29" s="214" t="s">
        <v>62</v>
      </c>
      <c r="C29" s="215" t="e">
        <f>+Calc!S79</f>
        <v>#DIV/0!</v>
      </c>
      <c r="D29" s="216" t="e">
        <f>+Calc!T79</f>
        <v>#NUM!</v>
      </c>
      <c r="E29" s="217" t="e">
        <f>IF(C29&gt;D29,"Error","Ok")</f>
        <v>#DIV/0!</v>
      </c>
      <c r="F29" s="181"/>
      <c r="G29" s="201"/>
      <c r="H29" s="201"/>
      <c r="I29" s="201"/>
      <c r="J29" s="181"/>
      <c r="K29" s="181"/>
      <c r="L29" s="181"/>
      <c r="M29" s="182"/>
      <c r="N29" s="183"/>
    </row>
    <row r="30" spans="1:92" ht="13.5" thickBot="1" x14ac:dyDescent="0.25">
      <c r="A30" s="176"/>
      <c r="B30" s="182"/>
      <c r="C30" s="182"/>
      <c r="D30" s="182"/>
      <c r="E30" s="201"/>
      <c r="F30" s="201"/>
      <c r="G30" s="218"/>
      <c r="H30" s="218"/>
      <c r="I30" s="218"/>
      <c r="J30" s="181"/>
      <c r="K30" s="181"/>
      <c r="L30" s="181"/>
      <c r="M30" s="182"/>
      <c r="N30" s="183"/>
    </row>
    <row r="31" spans="1:92" x14ac:dyDescent="0.2">
      <c r="A31" s="176"/>
      <c r="B31" s="219" t="s">
        <v>115</v>
      </c>
      <c r="C31" s="171"/>
      <c r="D31" s="220"/>
      <c r="E31" s="221"/>
      <c r="F31" s="222"/>
      <c r="G31" s="201"/>
      <c r="H31" s="201"/>
      <c r="I31" s="201"/>
      <c r="J31" s="181"/>
      <c r="K31" s="181"/>
      <c r="L31" s="181"/>
      <c r="M31" s="182"/>
      <c r="N31" s="183"/>
    </row>
    <row r="32" spans="1:92" x14ac:dyDescent="0.2">
      <c r="A32" s="176"/>
      <c r="B32" s="223" t="s">
        <v>116</v>
      </c>
      <c r="C32" s="456"/>
      <c r="D32" s="457"/>
      <c r="E32" s="457"/>
      <c r="F32" s="458"/>
      <c r="G32" s="201"/>
      <c r="H32" s="201"/>
      <c r="I32" s="201"/>
      <c r="J32" s="181"/>
      <c r="K32" s="181"/>
      <c r="L32" s="181"/>
      <c r="M32" s="182"/>
      <c r="N32" s="183"/>
    </row>
    <row r="33" spans="1:14" x14ac:dyDescent="0.2">
      <c r="A33" s="176"/>
      <c r="B33" s="224"/>
      <c r="C33" s="456"/>
      <c r="D33" s="457"/>
      <c r="E33" s="457"/>
      <c r="F33" s="458"/>
      <c r="G33" s="182"/>
      <c r="H33" s="182"/>
      <c r="I33" s="182"/>
      <c r="J33" s="181"/>
      <c r="K33" s="181"/>
      <c r="L33" s="181"/>
      <c r="M33" s="182"/>
      <c r="N33" s="183"/>
    </row>
    <row r="34" spans="1:14" ht="13.5" thickBot="1" x14ac:dyDescent="0.25">
      <c r="A34" s="176"/>
      <c r="B34" s="225"/>
      <c r="C34" s="459"/>
      <c r="D34" s="460"/>
      <c r="E34" s="460"/>
      <c r="F34" s="461"/>
      <c r="G34" s="182"/>
      <c r="H34" s="182"/>
      <c r="I34" s="182"/>
      <c r="J34" s="181"/>
      <c r="K34" s="181"/>
      <c r="L34" s="181"/>
      <c r="M34" s="182"/>
      <c r="N34" s="183"/>
    </row>
    <row r="35" spans="1:14" x14ac:dyDescent="0.2">
      <c r="A35" s="176"/>
      <c r="B35" s="181"/>
      <c r="C35" s="181"/>
      <c r="D35" s="181"/>
      <c r="E35" s="181"/>
      <c r="F35" s="181"/>
      <c r="G35" s="218"/>
      <c r="H35" s="218"/>
      <c r="I35" s="218"/>
      <c r="J35" s="181"/>
      <c r="K35" s="181"/>
      <c r="L35" s="181"/>
      <c r="M35" s="182"/>
      <c r="N35" s="183"/>
    </row>
    <row r="36" spans="1:14" ht="13.5" thickBot="1" x14ac:dyDescent="0.25">
      <c r="A36" s="189"/>
      <c r="B36" s="190"/>
      <c r="C36" s="190"/>
      <c r="D36" s="190"/>
      <c r="E36" s="190"/>
      <c r="F36" s="190"/>
      <c r="G36" s="226"/>
      <c r="H36" s="226"/>
      <c r="I36" s="226"/>
      <c r="J36" s="190"/>
      <c r="K36" s="190"/>
      <c r="L36" s="190"/>
      <c r="M36" s="226"/>
      <c r="N36" s="227"/>
    </row>
    <row r="37" spans="1:14" x14ac:dyDescent="0.2">
      <c r="G37" s="94"/>
      <c r="H37" s="94"/>
      <c r="I37" s="94"/>
      <c r="M37" s="94"/>
      <c r="N37" s="94"/>
    </row>
    <row r="38" spans="1:14" x14ac:dyDescent="0.2">
      <c r="B38" s="81" t="s">
        <v>128</v>
      </c>
      <c r="G38" s="94"/>
      <c r="H38" s="94"/>
      <c r="I38" s="94"/>
      <c r="M38" s="94"/>
      <c r="N38" s="94"/>
    </row>
    <row r="39" spans="1:14" x14ac:dyDescent="0.2">
      <c r="C39" s="94"/>
      <c r="D39" s="94"/>
      <c r="E39" s="94"/>
      <c r="F39" s="94"/>
      <c r="G39" s="94"/>
      <c r="H39" s="94"/>
      <c r="I39" s="94"/>
      <c r="M39" s="94"/>
      <c r="N39" s="94"/>
    </row>
    <row r="40" spans="1:14" ht="12.75" customHeight="1" x14ac:dyDescent="0.2">
      <c r="B40" s="310"/>
      <c r="C40" s="94"/>
      <c r="D40" s="94"/>
      <c r="E40" s="94"/>
      <c r="F40" s="94"/>
      <c r="G40" s="94"/>
      <c r="H40" s="94"/>
      <c r="I40" s="94"/>
      <c r="M40" s="94"/>
      <c r="N40" s="94"/>
    </row>
    <row r="41" spans="1:14" x14ac:dyDescent="0.2">
      <c r="B41" s="94"/>
      <c r="C41" s="94"/>
      <c r="D41" s="94"/>
      <c r="E41" s="94"/>
      <c r="F41" s="94"/>
      <c r="G41" s="94"/>
      <c r="H41" s="94"/>
      <c r="I41" s="94"/>
      <c r="M41" s="94"/>
      <c r="N41" s="94"/>
    </row>
    <row r="42" spans="1:14" x14ac:dyDescent="0.2">
      <c r="A42" s="100"/>
      <c r="C42" s="89"/>
      <c r="D42" s="89"/>
      <c r="E42" s="89"/>
      <c r="F42" s="94"/>
      <c r="G42" s="94"/>
      <c r="H42" s="94"/>
      <c r="I42" s="94"/>
      <c r="M42" s="94"/>
      <c r="N42" s="94"/>
    </row>
    <row r="43" spans="1:14" x14ac:dyDescent="0.2">
      <c r="A43" s="100"/>
      <c r="B43" s="89"/>
      <c r="C43" s="89"/>
      <c r="D43" s="89"/>
      <c r="E43" s="89"/>
      <c r="F43" s="94"/>
      <c r="G43" s="94"/>
      <c r="H43" s="94"/>
      <c r="I43" s="94"/>
      <c r="M43" s="94"/>
      <c r="N43" s="94"/>
    </row>
    <row r="44" spans="1:14" x14ac:dyDescent="0.2">
      <c r="A44" s="100"/>
      <c r="C44" s="89"/>
      <c r="D44" s="89"/>
      <c r="E44" s="89"/>
      <c r="F44" s="94"/>
      <c r="G44" s="94"/>
      <c r="H44" s="94"/>
      <c r="I44" s="94"/>
      <c r="J44" s="94"/>
      <c r="K44" s="94"/>
      <c r="L44" s="94"/>
      <c r="M44" s="94"/>
      <c r="N44" s="94"/>
    </row>
    <row r="45" spans="1:14" x14ac:dyDescent="0.2">
      <c r="A45" s="100"/>
      <c r="C45" s="89"/>
      <c r="D45" s="89"/>
      <c r="E45" s="89"/>
      <c r="F45" s="94"/>
      <c r="G45" s="94"/>
      <c r="H45" s="94"/>
      <c r="I45" s="94"/>
      <c r="J45" s="94"/>
      <c r="K45" s="94"/>
      <c r="L45" s="94"/>
      <c r="M45" s="94"/>
      <c r="N45" s="94"/>
    </row>
    <row r="46" spans="1:14" x14ac:dyDescent="0.2">
      <c r="A46" s="100"/>
      <c r="C46" s="89"/>
      <c r="D46" s="89"/>
      <c r="E46" s="89"/>
      <c r="F46" s="94"/>
      <c r="G46" s="94"/>
      <c r="H46" s="94"/>
      <c r="I46" s="94"/>
      <c r="J46" s="94"/>
      <c r="K46" s="94"/>
      <c r="L46" s="94"/>
      <c r="M46" s="94"/>
      <c r="N46" s="94"/>
    </row>
    <row r="47" spans="1:14" x14ac:dyDescent="0.2">
      <c r="A47" s="100"/>
      <c r="B47" s="89"/>
      <c r="C47" s="89"/>
      <c r="D47" s="89"/>
      <c r="E47" s="89"/>
      <c r="F47" s="94"/>
      <c r="G47" s="94"/>
      <c r="H47" s="94"/>
      <c r="I47" s="94"/>
      <c r="J47" s="94"/>
      <c r="K47" s="94"/>
      <c r="L47" s="94"/>
      <c r="M47" s="94"/>
      <c r="N47" s="94"/>
    </row>
    <row r="48" spans="1:14" x14ac:dyDescent="0.2">
      <c r="A48" s="100"/>
      <c r="B48" s="100"/>
      <c r="C48" s="89"/>
      <c r="D48" s="89"/>
      <c r="E48" s="89"/>
      <c r="F48" s="94"/>
      <c r="G48" s="94"/>
      <c r="H48" s="94"/>
      <c r="I48" s="94"/>
      <c r="J48" s="94"/>
      <c r="K48" s="94"/>
      <c r="L48" s="94"/>
      <c r="M48" s="94"/>
      <c r="N48" s="94"/>
    </row>
    <row r="49" spans="1:14" x14ac:dyDescent="0.2">
      <c r="A49" s="100"/>
      <c r="B49" s="100"/>
      <c r="C49" s="89"/>
      <c r="D49" s="89"/>
      <c r="E49" s="89"/>
      <c r="F49" s="94"/>
      <c r="G49" s="94"/>
      <c r="H49" s="94"/>
      <c r="L49" s="94"/>
      <c r="M49" s="94"/>
      <c r="N49" s="94"/>
    </row>
    <row r="50" spans="1:14" x14ac:dyDescent="0.2">
      <c r="A50" s="100"/>
      <c r="B50" s="100"/>
      <c r="C50" s="89"/>
      <c r="D50" s="89"/>
      <c r="E50" s="89"/>
      <c r="F50" s="94"/>
      <c r="G50" s="94"/>
      <c r="H50" s="94"/>
      <c r="I50" s="94"/>
      <c r="J50" s="94"/>
      <c r="K50" s="94"/>
      <c r="L50" s="94"/>
      <c r="M50" s="94"/>
      <c r="N50" s="94"/>
    </row>
    <row r="51" spans="1:14" x14ac:dyDescent="0.2">
      <c r="A51" s="100"/>
      <c r="B51" s="100"/>
      <c r="C51" s="89"/>
      <c r="D51" s="89"/>
      <c r="E51" s="89"/>
      <c r="F51" s="94"/>
      <c r="G51" s="94"/>
      <c r="H51" s="94"/>
      <c r="I51" s="94"/>
      <c r="J51" s="94"/>
      <c r="K51" s="94"/>
      <c r="L51" s="94"/>
      <c r="M51" s="94"/>
      <c r="N51" s="94"/>
    </row>
    <row r="52" spans="1:14" x14ac:dyDescent="0.2">
      <c r="A52" s="100"/>
      <c r="B52" s="100"/>
      <c r="C52" s="89"/>
      <c r="D52" s="89"/>
      <c r="E52" s="89"/>
      <c r="F52" s="94"/>
      <c r="G52" s="94"/>
      <c r="H52" s="94"/>
      <c r="I52" s="94"/>
      <c r="J52" s="94"/>
      <c r="K52" s="94"/>
      <c r="L52" s="94"/>
      <c r="M52" s="94"/>
      <c r="N52" s="94"/>
    </row>
    <row r="53" spans="1:14" x14ac:dyDescent="0.2">
      <c r="A53" s="100"/>
      <c r="B53" s="100"/>
      <c r="C53" s="89"/>
      <c r="D53" s="89"/>
      <c r="E53" s="89"/>
      <c r="F53" s="94"/>
      <c r="G53" s="94"/>
      <c r="H53" s="94"/>
      <c r="I53" s="94"/>
      <c r="J53" s="94"/>
      <c r="K53" s="94"/>
      <c r="L53" s="94"/>
      <c r="M53" s="94"/>
      <c r="N53" s="94"/>
    </row>
    <row r="54" spans="1:14" x14ac:dyDescent="0.2">
      <c r="A54" s="100"/>
      <c r="B54" s="100"/>
      <c r="C54" s="89"/>
      <c r="D54" s="89"/>
      <c r="E54" s="89"/>
      <c r="F54" s="94"/>
      <c r="G54" s="94"/>
      <c r="H54" s="94"/>
      <c r="I54" s="94"/>
      <c r="J54" s="94"/>
      <c r="K54" s="94"/>
      <c r="L54" s="115"/>
      <c r="M54" s="94"/>
      <c r="N54" s="94"/>
    </row>
    <row r="55" spans="1:14" x14ac:dyDescent="0.2">
      <c r="A55" s="100"/>
      <c r="B55" s="100"/>
      <c r="C55" s="89"/>
      <c r="D55" s="116"/>
      <c r="E55" s="89"/>
      <c r="F55" s="94"/>
      <c r="G55" s="94"/>
      <c r="H55" s="94"/>
      <c r="I55" s="94"/>
      <c r="J55" s="94"/>
      <c r="K55" s="94"/>
      <c r="L55" s="94"/>
      <c r="M55" s="94"/>
      <c r="N55" s="94"/>
    </row>
    <row r="56" spans="1:14" x14ac:dyDescent="0.2">
      <c r="A56" s="100"/>
      <c r="B56" s="100"/>
      <c r="C56" s="89"/>
      <c r="D56" s="116"/>
      <c r="E56" s="89"/>
      <c r="F56" s="94"/>
      <c r="G56" s="94"/>
      <c r="H56" s="94"/>
      <c r="I56" s="94"/>
      <c r="J56" s="94"/>
      <c r="K56" s="94"/>
      <c r="L56" s="94"/>
      <c r="M56" s="94"/>
      <c r="N56" s="94"/>
    </row>
    <row r="57" spans="1:14" x14ac:dyDescent="0.2">
      <c r="A57" s="100"/>
      <c r="B57" s="100"/>
      <c r="C57" s="100"/>
      <c r="D57" s="100"/>
      <c r="E57" s="89"/>
      <c r="F57" s="94"/>
      <c r="G57" s="94"/>
      <c r="H57" s="114"/>
      <c r="I57" s="94"/>
      <c r="J57" s="114"/>
      <c r="K57" s="114"/>
      <c r="L57" s="114"/>
      <c r="M57" s="94"/>
      <c r="N57" s="94"/>
    </row>
    <row r="58" spans="1:14" x14ac:dyDescent="0.2">
      <c r="A58" s="100"/>
      <c r="B58" s="100"/>
      <c r="C58" s="100"/>
      <c r="D58" s="100"/>
      <c r="E58" s="89"/>
      <c r="F58" s="94"/>
      <c r="G58" s="94"/>
      <c r="H58" s="94"/>
      <c r="I58" s="94"/>
      <c r="J58" s="94"/>
      <c r="K58" s="94"/>
      <c r="L58" s="94"/>
      <c r="M58" s="94"/>
      <c r="N58" s="94"/>
    </row>
    <row r="59" spans="1:14" ht="12" customHeight="1" x14ac:dyDescent="0.2">
      <c r="A59" s="100"/>
      <c r="B59" s="117"/>
      <c r="C59" s="117"/>
      <c r="D59" s="117"/>
      <c r="E59" s="89"/>
      <c r="F59" s="94"/>
      <c r="G59" s="94"/>
      <c r="H59" s="94"/>
      <c r="I59" s="94"/>
      <c r="J59" s="94"/>
      <c r="K59" s="94"/>
      <c r="L59" s="94"/>
      <c r="M59" s="94"/>
      <c r="N59" s="94"/>
    </row>
    <row r="60" spans="1:14" x14ac:dyDescent="0.2">
      <c r="A60" s="100"/>
      <c r="B60" s="118"/>
      <c r="C60" s="118"/>
      <c r="D60" s="118"/>
      <c r="E60" s="89"/>
      <c r="F60" s="94"/>
      <c r="G60" s="94"/>
      <c r="H60" s="94"/>
      <c r="I60" s="94"/>
      <c r="J60" s="94"/>
      <c r="K60" s="94"/>
      <c r="L60" s="94"/>
      <c r="M60" s="94"/>
      <c r="N60" s="94"/>
    </row>
    <row r="61" spans="1:14" x14ac:dyDescent="0.2">
      <c r="A61" s="100"/>
      <c r="B61" s="118"/>
      <c r="C61" s="118"/>
      <c r="D61" s="118"/>
      <c r="E61" s="89"/>
      <c r="F61" s="94"/>
      <c r="G61" s="94"/>
      <c r="H61" s="94"/>
      <c r="I61" s="94"/>
      <c r="J61" s="94"/>
      <c r="K61" s="94"/>
      <c r="L61" s="94"/>
      <c r="M61" s="94"/>
      <c r="N61" s="94"/>
    </row>
    <row r="62" spans="1:14" x14ac:dyDescent="0.2">
      <c r="A62" s="100"/>
      <c r="B62" s="118"/>
      <c r="C62" s="118"/>
      <c r="D62" s="118"/>
      <c r="E62" s="89"/>
      <c r="F62" s="94"/>
      <c r="G62" s="94"/>
      <c r="H62" s="94"/>
      <c r="I62" s="94"/>
      <c r="J62" s="94"/>
      <c r="K62" s="94"/>
      <c r="L62" s="94"/>
      <c r="M62" s="94"/>
      <c r="N62" s="94"/>
    </row>
    <row r="63" spans="1:14" x14ac:dyDescent="0.2">
      <c r="A63" s="100"/>
      <c r="B63" s="118"/>
      <c r="C63" s="118"/>
      <c r="D63" s="118"/>
      <c r="E63" s="89"/>
      <c r="F63" s="94"/>
      <c r="G63" s="94"/>
      <c r="H63" s="114"/>
      <c r="I63" s="114"/>
      <c r="J63" s="114"/>
      <c r="K63" s="114"/>
      <c r="L63" s="114"/>
      <c r="M63" s="94"/>
      <c r="N63" s="94"/>
    </row>
    <row r="64" spans="1:14" x14ac:dyDescent="0.2">
      <c r="A64" s="100"/>
      <c r="B64" s="118"/>
      <c r="C64" s="118"/>
      <c r="D64" s="118"/>
      <c r="E64" s="89"/>
      <c r="F64" s="94"/>
      <c r="G64" s="94"/>
      <c r="H64" s="94"/>
      <c r="I64" s="94"/>
      <c r="J64" s="114"/>
      <c r="K64" s="114"/>
      <c r="L64" s="114"/>
      <c r="M64" s="94"/>
      <c r="N64" s="94"/>
    </row>
    <row r="65" spans="1:14" x14ac:dyDescent="0.2">
      <c r="A65" s="100"/>
      <c r="B65" s="118"/>
      <c r="C65" s="118"/>
      <c r="D65" s="118"/>
      <c r="E65" s="89"/>
      <c r="F65" s="94"/>
      <c r="G65" s="94"/>
      <c r="H65" s="94"/>
      <c r="I65" s="94"/>
      <c r="J65" s="94"/>
      <c r="K65" s="94"/>
      <c r="L65" s="114"/>
      <c r="M65" s="94"/>
      <c r="N65" s="94"/>
    </row>
    <row r="66" spans="1:14" x14ac:dyDescent="0.2">
      <c r="A66" s="100"/>
      <c r="B66" s="118"/>
      <c r="C66" s="118"/>
      <c r="D66" s="118"/>
      <c r="E66" s="89"/>
      <c r="F66" s="94"/>
      <c r="G66" s="94"/>
      <c r="H66" s="94"/>
      <c r="I66" s="94"/>
      <c r="J66" s="94"/>
      <c r="K66" s="94"/>
      <c r="L66" s="94"/>
      <c r="M66" s="94"/>
      <c r="N66" s="94"/>
    </row>
    <row r="67" spans="1:14" x14ac:dyDescent="0.2">
      <c r="A67" s="100"/>
      <c r="B67" s="118"/>
      <c r="C67" s="118"/>
      <c r="D67" s="118"/>
      <c r="E67" s="89"/>
      <c r="F67" s="94"/>
      <c r="G67" s="94"/>
      <c r="H67" s="94"/>
      <c r="I67" s="94"/>
      <c r="J67" s="94"/>
      <c r="K67" s="94"/>
      <c r="L67" s="94"/>
      <c r="M67" s="94"/>
      <c r="N67" s="94"/>
    </row>
    <row r="68" spans="1:14" x14ac:dyDescent="0.2">
      <c r="A68" s="100"/>
      <c r="B68" s="118"/>
      <c r="C68" s="118"/>
      <c r="D68" s="118"/>
      <c r="E68" s="89"/>
      <c r="F68" s="94"/>
      <c r="G68" s="94"/>
      <c r="H68" s="94"/>
      <c r="I68" s="94"/>
      <c r="J68" s="94"/>
      <c r="K68" s="94"/>
      <c r="L68" s="94"/>
      <c r="M68" s="94"/>
      <c r="N68" s="94"/>
    </row>
    <row r="69" spans="1:14" x14ac:dyDescent="0.2">
      <c r="A69" s="100"/>
      <c r="B69" s="118"/>
      <c r="C69" s="118"/>
      <c r="D69" s="118"/>
      <c r="E69" s="89"/>
      <c r="F69" s="94"/>
      <c r="G69" s="94"/>
      <c r="H69" s="94"/>
      <c r="I69" s="94"/>
      <c r="J69" s="94"/>
      <c r="K69" s="94"/>
      <c r="L69" s="94"/>
      <c r="M69" s="94"/>
      <c r="N69" s="94"/>
    </row>
    <row r="70" spans="1:14" x14ac:dyDescent="0.2">
      <c r="A70" s="100"/>
      <c r="B70" s="118"/>
      <c r="C70" s="118"/>
      <c r="D70" s="118"/>
      <c r="E70" s="89"/>
      <c r="F70" s="94"/>
      <c r="G70" s="94"/>
      <c r="H70" s="94"/>
      <c r="I70" s="94"/>
      <c r="J70" s="94"/>
      <c r="K70" s="94"/>
      <c r="L70" s="94"/>
      <c r="M70" s="94"/>
      <c r="N70" s="94"/>
    </row>
    <row r="71" spans="1:14" x14ac:dyDescent="0.2">
      <c r="A71" s="100"/>
      <c r="B71" s="89"/>
      <c r="C71" s="89"/>
      <c r="D71" s="89"/>
      <c r="E71" s="89"/>
      <c r="F71" s="94"/>
      <c r="G71" s="94"/>
      <c r="H71" s="94"/>
      <c r="I71" s="94"/>
      <c r="J71" s="94"/>
      <c r="K71" s="94"/>
      <c r="L71" s="94"/>
      <c r="M71" s="94"/>
      <c r="N71" s="94"/>
    </row>
    <row r="72" spans="1:14" x14ac:dyDescent="0.2">
      <c r="B72" s="94"/>
      <c r="C72" s="94"/>
      <c r="D72" s="94"/>
      <c r="E72" s="94"/>
      <c r="F72" s="94"/>
      <c r="G72" s="94"/>
      <c r="H72" s="94"/>
      <c r="I72" s="94"/>
      <c r="J72" s="94"/>
      <c r="K72" s="94"/>
      <c r="L72" s="94"/>
      <c r="M72" s="94"/>
      <c r="N72" s="94"/>
    </row>
    <row r="73" spans="1:14" x14ac:dyDescent="0.2">
      <c r="B73" s="94"/>
      <c r="C73" s="94"/>
      <c r="D73" s="94"/>
      <c r="E73" s="94"/>
      <c r="F73" s="94"/>
      <c r="G73" s="94"/>
      <c r="H73" s="94"/>
      <c r="I73" s="94"/>
      <c r="J73" s="94"/>
      <c r="K73" s="94"/>
      <c r="L73" s="94"/>
      <c r="M73" s="94"/>
      <c r="N73" s="94"/>
    </row>
    <row r="74" spans="1:14" x14ac:dyDescent="0.2">
      <c r="B74" s="94"/>
      <c r="C74" s="94"/>
      <c r="D74" s="94"/>
      <c r="E74" s="94"/>
      <c r="F74" s="94"/>
      <c r="G74" s="94"/>
      <c r="H74" s="94"/>
      <c r="I74" s="94"/>
      <c r="J74" s="94"/>
      <c r="K74" s="94"/>
      <c r="L74" s="94"/>
      <c r="M74" s="94"/>
      <c r="N74" s="94"/>
    </row>
    <row r="75" spans="1:14" x14ac:dyDescent="0.2">
      <c r="B75" s="94"/>
      <c r="C75" s="94"/>
      <c r="D75" s="94"/>
      <c r="E75" s="94"/>
      <c r="F75" s="94"/>
      <c r="G75" s="94"/>
      <c r="H75" s="94"/>
      <c r="I75" s="94"/>
      <c r="J75" s="94"/>
      <c r="K75" s="94"/>
      <c r="L75" s="94"/>
      <c r="M75" s="94"/>
      <c r="N75" s="94"/>
    </row>
    <row r="76" spans="1:14" x14ac:dyDescent="0.2">
      <c r="B76" s="94"/>
      <c r="C76" s="94"/>
      <c r="D76" s="94"/>
      <c r="E76" s="94"/>
      <c r="F76" s="94"/>
      <c r="G76" s="94"/>
      <c r="H76" s="94"/>
      <c r="I76" s="94"/>
      <c r="J76" s="94"/>
      <c r="K76" s="94"/>
      <c r="L76" s="94"/>
      <c r="M76" s="94"/>
      <c r="N76" s="94"/>
    </row>
    <row r="77" spans="1:14" x14ac:dyDescent="0.2">
      <c r="B77" s="94"/>
      <c r="C77" s="94"/>
      <c r="D77" s="94"/>
      <c r="E77" s="94"/>
      <c r="F77" s="94"/>
      <c r="G77" s="94"/>
      <c r="H77" s="94"/>
      <c r="I77" s="94"/>
      <c r="J77" s="94"/>
      <c r="K77" s="94"/>
      <c r="L77" s="94"/>
      <c r="M77" s="94"/>
      <c r="N77" s="94"/>
    </row>
    <row r="78" spans="1:14" x14ac:dyDescent="0.2">
      <c r="B78" s="94"/>
      <c r="C78" s="94"/>
      <c r="D78" s="94"/>
      <c r="E78" s="94"/>
      <c r="F78" s="94"/>
      <c r="G78" s="94"/>
      <c r="H78" s="94"/>
      <c r="I78" s="94"/>
      <c r="J78" s="94"/>
      <c r="K78" s="94"/>
      <c r="L78" s="94"/>
      <c r="M78" s="94"/>
      <c r="N78" s="94"/>
    </row>
    <row r="79" spans="1:14" x14ac:dyDescent="0.2">
      <c r="B79" s="94"/>
      <c r="C79" s="94"/>
      <c r="D79" s="94"/>
      <c r="E79" s="94"/>
      <c r="F79" s="94"/>
      <c r="G79" s="94"/>
      <c r="H79" s="94"/>
      <c r="I79" s="94"/>
      <c r="J79" s="94"/>
      <c r="K79" s="94"/>
      <c r="L79" s="94"/>
      <c r="M79" s="94"/>
      <c r="N79" s="94"/>
    </row>
    <row r="80" spans="1:14" x14ac:dyDescent="0.2">
      <c r="B80" s="94"/>
      <c r="C80" s="94"/>
      <c r="D80" s="94"/>
      <c r="E80" s="94"/>
      <c r="F80" s="94"/>
      <c r="G80" s="94"/>
      <c r="H80" s="94"/>
      <c r="I80" s="94"/>
      <c r="J80" s="94"/>
      <c r="K80" s="94"/>
      <c r="L80" s="94"/>
      <c r="M80" s="94"/>
      <c r="N80" s="94"/>
    </row>
    <row r="81" spans="2:14" x14ac:dyDescent="0.2">
      <c r="B81" s="94"/>
      <c r="C81" s="94"/>
      <c r="D81" s="94"/>
      <c r="E81" s="94"/>
      <c r="F81" s="94"/>
      <c r="G81" s="94"/>
      <c r="H81" s="94"/>
      <c r="I81" s="94"/>
      <c r="J81" s="94"/>
      <c r="K81" s="94"/>
      <c r="L81" s="94"/>
      <c r="M81" s="94"/>
      <c r="N81" s="94"/>
    </row>
    <row r="82" spans="2:14" x14ac:dyDescent="0.2">
      <c r="B82" s="94"/>
      <c r="C82" s="94"/>
      <c r="D82" s="94"/>
      <c r="E82" s="94"/>
      <c r="F82" s="94"/>
      <c r="G82" s="94"/>
      <c r="H82" s="94"/>
      <c r="I82" s="94"/>
      <c r="J82" s="94"/>
      <c r="K82" s="94"/>
      <c r="L82" s="94"/>
      <c r="M82" s="94"/>
      <c r="N82" s="94"/>
    </row>
    <row r="83" spans="2:14" x14ac:dyDescent="0.2">
      <c r="B83" s="94"/>
      <c r="C83" s="94"/>
      <c r="D83" s="94"/>
      <c r="E83" s="94"/>
      <c r="F83" s="94"/>
      <c r="G83" s="94"/>
      <c r="H83" s="94"/>
      <c r="I83" s="94"/>
      <c r="J83" s="94"/>
      <c r="K83" s="94"/>
      <c r="L83" s="94"/>
      <c r="M83" s="94"/>
      <c r="N83" s="94"/>
    </row>
    <row r="84" spans="2:14" x14ac:dyDescent="0.2">
      <c r="B84" s="94"/>
      <c r="C84" s="94"/>
      <c r="D84" s="94"/>
      <c r="E84" s="94"/>
      <c r="F84" s="94"/>
      <c r="G84" s="94"/>
      <c r="H84" s="94"/>
      <c r="I84" s="94"/>
      <c r="J84" s="94"/>
      <c r="K84" s="94"/>
      <c r="L84" s="94"/>
      <c r="M84" s="94"/>
      <c r="N84" s="94"/>
    </row>
    <row r="85" spans="2:14" x14ac:dyDescent="0.2">
      <c r="B85" s="94"/>
      <c r="C85" s="94"/>
      <c r="D85" s="94"/>
      <c r="E85" s="94"/>
      <c r="F85" s="94"/>
      <c r="G85" s="94"/>
      <c r="H85" s="94"/>
      <c r="I85" s="94"/>
      <c r="J85" s="89"/>
      <c r="K85" s="89"/>
      <c r="L85" s="89"/>
      <c r="M85" s="94"/>
      <c r="N85" s="94"/>
    </row>
    <row r="86" spans="2:14" x14ac:dyDescent="0.2">
      <c r="B86" s="94"/>
      <c r="C86" s="94"/>
      <c r="D86" s="94"/>
      <c r="E86" s="94"/>
      <c r="F86" s="94"/>
      <c r="G86" s="94"/>
      <c r="H86" s="94"/>
      <c r="I86" s="94"/>
      <c r="J86" s="116"/>
      <c r="K86" s="116"/>
      <c r="L86" s="116"/>
      <c r="M86" s="94"/>
      <c r="N86" s="94"/>
    </row>
    <row r="87" spans="2:14" x14ac:dyDescent="0.2">
      <c r="B87" s="94"/>
      <c r="C87" s="94"/>
      <c r="D87" s="94"/>
      <c r="E87" s="94"/>
      <c r="F87" s="94"/>
      <c r="G87" s="94"/>
      <c r="H87" s="94"/>
      <c r="I87" s="94"/>
      <c r="J87" s="116"/>
      <c r="K87" s="116"/>
      <c r="L87" s="116"/>
      <c r="M87" s="94"/>
      <c r="N87" s="94"/>
    </row>
    <row r="94" spans="2:14" x14ac:dyDescent="0.2">
      <c r="K94" s="100"/>
      <c r="L94" s="100"/>
      <c r="M94" s="100"/>
      <c r="N94" s="100"/>
    </row>
    <row r="95" spans="2:14" ht="11.25" customHeight="1" x14ac:dyDescent="0.2">
      <c r="K95" s="100"/>
      <c r="L95" s="100"/>
      <c r="M95" s="100"/>
      <c r="N95" s="100"/>
    </row>
    <row r="96" spans="2:14" x14ac:dyDescent="0.2">
      <c r="K96" s="100"/>
      <c r="L96" s="100"/>
      <c r="M96" s="100"/>
      <c r="N96" s="100"/>
    </row>
    <row r="97" spans="2:14" x14ac:dyDescent="0.2">
      <c r="K97" s="100"/>
    </row>
    <row r="102" spans="2:14" x14ac:dyDescent="0.2">
      <c r="L102" s="100"/>
      <c r="M102" s="119"/>
      <c r="N102" s="119"/>
    </row>
    <row r="110" spans="2:14" x14ac:dyDescent="0.2">
      <c r="B110" s="100"/>
      <c r="C110" s="119"/>
      <c r="D110" s="100"/>
      <c r="E110" s="100"/>
      <c r="F110" s="100"/>
      <c r="G110" s="100"/>
      <c r="H110" s="100"/>
      <c r="I110" s="100"/>
      <c r="J110" s="100"/>
      <c r="K110" s="100"/>
      <c r="L110" s="119"/>
      <c r="M110" s="100"/>
      <c r="N110" s="100"/>
    </row>
    <row r="111" spans="2:14" x14ac:dyDescent="0.2">
      <c r="B111" s="100"/>
      <c r="C111" s="120"/>
      <c r="D111" s="120"/>
      <c r="E111" s="120"/>
      <c r="F111" s="120"/>
      <c r="G111" s="120"/>
      <c r="H111" s="120"/>
      <c r="I111" s="120"/>
      <c r="J111" s="120"/>
      <c r="K111" s="120"/>
      <c r="L111" s="120"/>
      <c r="M111" s="120"/>
      <c r="N111" s="120"/>
    </row>
    <row r="112" spans="2:14" x14ac:dyDescent="0.2">
      <c r="B112" s="100"/>
      <c r="C112" s="120"/>
      <c r="D112" s="120"/>
      <c r="E112" s="120"/>
      <c r="F112" s="120"/>
      <c r="G112" s="120"/>
      <c r="H112" s="120"/>
      <c r="I112" s="120"/>
      <c r="J112" s="120"/>
      <c r="K112" s="120"/>
      <c r="L112" s="120"/>
      <c r="M112" s="120"/>
      <c r="N112" s="120"/>
    </row>
    <row r="113" spans="2:14" x14ac:dyDescent="0.2">
      <c r="B113" s="119"/>
      <c r="C113" s="121"/>
      <c r="D113" s="121"/>
      <c r="E113" s="121"/>
      <c r="F113" s="121"/>
      <c r="G113" s="121"/>
      <c r="H113" s="121"/>
      <c r="I113" s="121"/>
      <c r="J113" s="121"/>
      <c r="K113" s="119"/>
      <c r="L113" s="121"/>
      <c r="M113" s="121"/>
      <c r="N113" s="121"/>
    </row>
    <row r="114" spans="2:14" x14ac:dyDescent="0.2">
      <c r="B114" s="119"/>
      <c r="C114" s="121"/>
      <c r="D114" s="121"/>
      <c r="E114" s="121"/>
      <c r="F114" s="121"/>
      <c r="G114" s="121"/>
      <c r="H114" s="121"/>
      <c r="I114" s="121"/>
      <c r="J114" s="121"/>
      <c r="K114" s="119"/>
      <c r="L114" s="121"/>
      <c r="M114" s="121"/>
      <c r="N114" s="121"/>
    </row>
    <row r="115" spans="2:14" x14ac:dyDescent="0.2">
      <c r="B115" s="119"/>
      <c r="H115" s="121"/>
      <c r="I115" s="121"/>
      <c r="J115" s="121"/>
      <c r="K115" s="119"/>
      <c r="M115" s="121"/>
      <c r="N115" s="121"/>
    </row>
    <row r="116" spans="2:14" x14ac:dyDescent="0.2">
      <c r="B116" s="100"/>
      <c r="C116" s="121"/>
      <c r="D116" s="121"/>
      <c r="E116" s="121"/>
      <c r="F116" s="121"/>
      <c r="G116" s="121"/>
      <c r="H116" s="100"/>
      <c r="I116" s="100"/>
      <c r="J116" s="100"/>
      <c r="K116" s="100"/>
      <c r="L116" s="121"/>
      <c r="M116" s="100"/>
      <c r="N116" s="100"/>
    </row>
    <row r="117" spans="2:14" x14ac:dyDescent="0.2">
      <c r="B117" s="100"/>
      <c r="C117" s="100"/>
      <c r="D117" s="100"/>
      <c r="E117" s="100"/>
      <c r="F117" s="100"/>
      <c r="G117" s="100"/>
      <c r="H117" s="100"/>
      <c r="I117" s="100"/>
      <c r="J117" s="100"/>
      <c r="K117" s="100"/>
      <c r="L117" s="100"/>
      <c r="M117" s="100"/>
      <c r="N117" s="100"/>
    </row>
    <row r="118" spans="2:14" x14ac:dyDescent="0.2">
      <c r="B118" s="100"/>
      <c r="C118" s="100"/>
      <c r="D118" s="100"/>
      <c r="E118" s="100"/>
      <c r="F118" s="100"/>
      <c r="G118" s="100"/>
      <c r="H118" s="100"/>
      <c r="I118" s="100"/>
      <c r="J118" s="100"/>
      <c r="K118" s="100"/>
      <c r="L118" s="100"/>
      <c r="M118" s="100"/>
      <c r="N118" s="100"/>
    </row>
    <row r="119" spans="2:14" x14ac:dyDescent="0.2">
      <c r="B119" s="100"/>
      <c r="C119" s="100"/>
      <c r="D119" s="100"/>
      <c r="E119" s="100"/>
      <c r="F119" s="100"/>
      <c r="G119" s="100"/>
      <c r="H119" s="100"/>
      <c r="I119" s="100"/>
      <c r="J119" s="100"/>
      <c r="K119" s="100"/>
      <c r="L119" s="100"/>
      <c r="M119" s="100"/>
      <c r="N119" s="100"/>
    </row>
    <row r="120" spans="2:14" x14ac:dyDescent="0.2">
      <c r="D120" s="100"/>
      <c r="F120" s="100"/>
      <c r="G120" s="100"/>
      <c r="H120" s="100"/>
      <c r="I120" s="100"/>
      <c r="J120" s="100"/>
      <c r="K120" s="100"/>
      <c r="L120" s="100"/>
      <c r="M120" s="100"/>
      <c r="N120" s="100"/>
    </row>
    <row r="121" spans="2:14" x14ac:dyDescent="0.2">
      <c r="B121" s="100"/>
      <c r="C121" s="100"/>
      <c r="D121" s="100"/>
      <c r="E121" s="100"/>
      <c r="F121" s="100"/>
      <c r="G121" s="100"/>
      <c r="H121" s="100"/>
      <c r="I121" s="100"/>
      <c r="J121" s="100"/>
      <c r="K121" s="100"/>
      <c r="L121" s="100"/>
      <c r="M121" s="100"/>
      <c r="N121" s="100"/>
    </row>
    <row r="122" spans="2:14" x14ac:dyDescent="0.2">
      <c r="B122" s="100"/>
      <c r="C122" s="100"/>
      <c r="D122" s="100"/>
      <c r="E122" s="100"/>
      <c r="F122" s="100"/>
      <c r="G122" s="100"/>
      <c r="H122" s="100"/>
      <c r="I122" s="100"/>
      <c r="J122" s="100"/>
      <c r="K122" s="100"/>
      <c r="L122" s="100"/>
      <c r="M122" s="100"/>
      <c r="N122" s="100"/>
    </row>
    <row r="123" spans="2:14" x14ac:dyDescent="0.2">
      <c r="B123" s="100"/>
      <c r="C123" s="100"/>
      <c r="D123" s="100"/>
      <c r="E123" s="100"/>
      <c r="F123" s="100"/>
      <c r="G123" s="100"/>
      <c r="H123" s="100"/>
      <c r="I123" s="100"/>
      <c r="J123" s="100"/>
      <c r="K123" s="100"/>
      <c r="L123" s="100"/>
      <c r="M123" s="100"/>
      <c r="N123" s="100"/>
    </row>
    <row r="124" spans="2:14" x14ac:dyDescent="0.2">
      <c r="B124" s="100"/>
      <c r="C124" s="100"/>
      <c r="D124" s="100"/>
      <c r="E124" s="100"/>
      <c r="F124" s="100"/>
      <c r="G124" s="100"/>
      <c r="H124" s="100"/>
      <c r="I124" s="100"/>
      <c r="J124" s="100"/>
      <c r="K124" s="100"/>
      <c r="L124" s="100"/>
      <c r="M124" s="100"/>
      <c r="N124" s="100"/>
    </row>
    <row r="125" spans="2:14" x14ac:dyDescent="0.2">
      <c r="B125" s="100"/>
      <c r="C125" s="100"/>
      <c r="D125" s="100"/>
      <c r="E125" s="100"/>
      <c r="F125" s="100"/>
      <c r="G125" s="100"/>
      <c r="H125" s="100"/>
      <c r="I125" s="100"/>
      <c r="J125" s="100"/>
      <c r="K125" s="100"/>
      <c r="L125" s="100"/>
      <c r="M125" s="100"/>
      <c r="N125" s="100"/>
    </row>
    <row r="126" spans="2:14" x14ac:dyDescent="0.2">
      <c r="K126" s="100"/>
      <c r="L126" s="100"/>
      <c r="M126" s="100"/>
      <c r="N126" s="100"/>
    </row>
    <row r="127" spans="2:14" ht="13.5" customHeight="1" x14ac:dyDescent="0.2">
      <c r="K127" s="100"/>
      <c r="L127" s="100"/>
      <c r="M127" s="100"/>
      <c r="N127" s="100"/>
    </row>
    <row r="128" spans="2:14" ht="12.75" customHeight="1" x14ac:dyDescent="0.2">
      <c r="K128" s="100"/>
      <c r="L128" s="100"/>
      <c r="M128" s="100"/>
      <c r="N128" s="100"/>
    </row>
    <row r="129" spans="11:14" ht="14.25" customHeight="1" x14ac:dyDescent="0.2">
      <c r="K129" s="100"/>
      <c r="L129" s="100"/>
      <c r="M129" s="100"/>
      <c r="N129" s="100"/>
    </row>
    <row r="130" spans="11:14" x14ac:dyDescent="0.2">
      <c r="K130" s="100"/>
      <c r="L130" s="100"/>
      <c r="M130" s="100"/>
      <c r="N130" s="100"/>
    </row>
    <row r="131" spans="11:14" x14ac:dyDescent="0.2">
      <c r="K131" s="100"/>
      <c r="L131" s="100"/>
      <c r="M131" s="100"/>
      <c r="N131" s="100"/>
    </row>
    <row r="132" spans="11:14" x14ac:dyDescent="0.2">
      <c r="K132" s="100"/>
      <c r="L132" s="100"/>
      <c r="M132" s="100"/>
      <c r="N132" s="100"/>
    </row>
    <row r="133" spans="11:14" x14ac:dyDescent="0.2">
      <c r="K133" s="100"/>
      <c r="L133" s="100"/>
      <c r="M133" s="100"/>
      <c r="N133" s="100"/>
    </row>
    <row r="134" spans="11:14" x14ac:dyDescent="0.2">
      <c r="K134" s="100"/>
      <c r="L134" s="100"/>
      <c r="M134" s="100"/>
      <c r="N134" s="100"/>
    </row>
    <row r="135" spans="11:14" x14ac:dyDescent="0.2">
      <c r="K135" s="100"/>
      <c r="L135" s="100"/>
      <c r="M135" s="100"/>
      <c r="N135" s="100"/>
    </row>
    <row r="136" spans="11:14" x14ac:dyDescent="0.2">
      <c r="K136" s="100"/>
      <c r="L136" s="100"/>
      <c r="M136" s="100"/>
      <c r="N136" s="100"/>
    </row>
    <row r="137" spans="11:14" x14ac:dyDescent="0.2">
      <c r="K137" s="100"/>
      <c r="L137" s="100"/>
      <c r="M137" s="100"/>
      <c r="N137" s="100"/>
    </row>
    <row r="138" spans="11:14" x14ac:dyDescent="0.2">
      <c r="K138" s="100"/>
      <c r="L138" s="100"/>
      <c r="M138" s="100"/>
      <c r="N138" s="100"/>
    </row>
    <row r="139" spans="11:14" x14ac:dyDescent="0.2">
      <c r="K139" s="100"/>
      <c r="L139" s="100"/>
      <c r="M139" s="100"/>
      <c r="N139" s="100"/>
    </row>
    <row r="140" spans="11:14" x14ac:dyDescent="0.2">
      <c r="K140" s="100"/>
      <c r="L140" s="100"/>
      <c r="M140" s="100"/>
      <c r="N140" s="100"/>
    </row>
    <row r="141" spans="11:14" x14ac:dyDescent="0.2">
      <c r="K141" s="100"/>
      <c r="L141" s="100"/>
      <c r="M141" s="100"/>
      <c r="N141" s="100"/>
    </row>
    <row r="142" spans="11:14" x14ac:dyDescent="0.2">
      <c r="K142" s="100"/>
      <c r="L142" s="100"/>
      <c r="M142" s="100"/>
      <c r="N142" s="100"/>
    </row>
    <row r="143" spans="11:14" x14ac:dyDescent="0.2">
      <c r="K143" s="100"/>
      <c r="L143" s="100"/>
      <c r="M143" s="119"/>
      <c r="N143" s="119"/>
    </row>
    <row r="144" spans="11:14" x14ac:dyDescent="0.2">
      <c r="K144" s="100"/>
      <c r="L144" s="100"/>
      <c r="M144" s="100"/>
      <c r="N144" s="100"/>
    </row>
    <row r="145" spans="11:14" x14ac:dyDescent="0.2">
      <c r="K145" s="100"/>
      <c r="L145" s="100"/>
      <c r="M145" s="100"/>
      <c r="N145" s="100"/>
    </row>
    <row r="146" spans="11:14" x14ac:dyDescent="0.2">
      <c r="K146" s="100"/>
      <c r="L146" s="100"/>
      <c r="M146" s="100"/>
      <c r="N146" s="100"/>
    </row>
    <row r="147" spans="11:14" x14ac:dyDescent="0.2">
      <c r="K147" s="100"/>
      <c r="L147" s="100"/>
      <c r="M147" s="100"/>
      <c r="N147" s="100"/>
    </row>
    <row r="148" spans="11:14" x14ac:dyDescent="0.2">
      <c r="K148" s="100"/>
      <c r="L148" s="100"/>
      <c r="M148" s="100"/>
      <c r="N148" s="100"/>
    </row>
    <row r="149" spans="11:14" x14ac:dyDescent="0.2">
      <c r="K149" s="100"/>
      <c r="L149" s="100"/>
      <c r="M149" s="100"/>
      <c r="N149" s="100"/>
    </row>
    <row r="150" spans="11:14" x14ac:dyDescent="0.2">
      <c r="K150" s="100"/>
      <c r="L150" s="100"/>
      <c r="M150" s="100"/>
      <c r="N150" s="100"/>
    </row>
    <row r="151" spans="11:14" x14ac:dyDescent="0.2">
      <c r="K151" s="100"/>
      <c r="L151" s="100"/>
      <c r="M151" s="100"/>
      <c r="N151" s="100"/>
    </row>
    <row r="152" spans="11:14" x14ac:dyDescent="0.2">
      <c r="K152" s="100"/>
      <c r="L152" s="100"/>
      <c r="M152" s="100"/>
      <c r="N152" s="100"/>
    </row>
    <row r="153" spans="11:14" x14ac:dyDescent="0.2">
      <c r="K153" s="100"/>
      <c r="L153" s="100"/>
      <c r="M153" s="100"/>
      <c r="N153" s="100"/>
    </row>
    <row r="154" spans="11:14" x14ac:dyDescent="0.2">
      <c r="K154" s="100"/>
      <c r="L154" s="100"/>
      <c r="M154" s="100"/>
      <c r="N154" s="100"/>
    </row>
    <row r="155" spans="11:14" x14ac:dyDescent="0.2">
      <c r="K155" s="100"/>
      <c r="L155" s="100"/>
      <c r="M155" s="100"/>
      <c r="N155" s="100"/>
    </row>
    <row r="156" spans="11:14" x14ac:dyDescent="0.2">
      <c r="K156" s="100"/>
      <c r="L156" s="100"/>
      <c r="M156" s="100"/>
      <c r="N156" s="100"/>
    </row>
    <row r="157" spans="11:14" x14ac:dyDescent="0.2">
      <c r="K157" s="100"/>
      <c r="L157" s="100"/>
      <c r="M157" s="100"/>
      <c r="N157" s="100"/>
    </row>
    <row r="158" spans="11:14" x14ac:dyDescent="0.2">
      <c r="K158" s="100"/>
      <c r="L158" s="100"/>
      <c r="M158" s="100"/>
      <c r="N158" s="100"/>
    </row>
  </sheetData>
  <mergeCells count="7">
    <mergeCell ref="C33:F33"/>
    <mergeCell ref="C34:F34"/>
    <mergeCell ref="B2:H2"/>
    <mergeCell ref="J2:L2"/>
    <mergeCell ref="B11:H11"/>
    <mergeCell ref="C20:D20"/>
    <mergeCell ref="C32:F32"/>
  </mergeCells>
  <phoneticPr fontId="10" type="noConversion"/>
  <conditionalFormatting sqref="E27">
    <cfRule type="expression" dxfId="11" priority="1" stopIfTrue="1">
      <formula>$C$27&lt;$D$27</formula>
    </cfRule>
    <cfRule type="expression" dxfId="10" priority="2" stopIfTrue="1">
      <formula>$C$27&gt;=$D$27</formula>
    </cfRule>
  </conditionalFormatting>
  <conditionalFormatting sqref="E28">
    <cfRule type="expression" dxfId="9" priority="3" stopIfTrue="1">
      <formula>$C$28&lt;$D$28</formula>
    </cfRule>
    <cfRule type="expression" dxfId="8" priority="4" stopIfTrue="1">
      <formula>$C$28&gt;=$D$28</formula>
    </cfRule>
  </conditionalFormatting>
  <conditionalFormatting sqref="E29">
    <cfRule type="expression" dxfId="7" priority="5" stopIfTrue="1">
      <formula>$C$29&lt;$D$29</formula>
    </cfRule>
    <cfRule type="expression" dxfId="6" priority="6" stopIfTrue="1">
      <formula>$C$29&gt;=$D$29</formula>
    </cfRule>
  </conditionalFormatting>
  <printOptions gridLines="1"/>
  <pageMargins left="0.75" right="0.75" top="1" bottom="1" header="0.5" footer="0.5"/>
  <pageSetup paperSize="9" scale="95" orientation="landscape" horizontalDpi="4294967292" verticalDpi="144" r:id="rId1"/>
  <headerFooter alignWithMargins="0">
    <oddFooter>&amp;L&amp;Z&amp;F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36"/>
  <sheetViews>
    <sheetView workbookViewId="0">
      <selection activeCell="A19" sqref="A19"/>
    </sheetView>
  </sheetViews>
  <sheetFormatPr defaultRowHeight="12.75" x14ac:dyDescent="0.2"/>
  <cols>
    <col min="1" max="1" width="29.7109375" customWidth="1"/>
    <col min="2" max="2" width="40.140625" customWidth="1"/>
    <col min="4" max="4" width="15.85546875" customWidth="1"/>
  </cols>
  <sheetData>
    <row r="1" spans="1:15" ht="13.5" thickBot="1" x14ac:dyDescent="0.25">
      <c r="A1" s="170" t="s">
        <v>127</v>
      </c>
      <c r="B1" t="s">
        <v>126</v>
      </c>
      <c r="C1" s="93"/>
      <c r="D1" s="8"/>
      <c r="E1" s="94"/>
      <c r="F1" s="94"/>
      <c r="G1" s="94"/>
      <c r="H1" s="94"/>
      <c r="I1" s="94"/>
      <c r="J1" s="94"/>
      <c r="K1" s="94"/>
      <c r="L1" s="94"/>
      <c r="M1" s="94"/>
      <c r="N1" s="94"/>
      <c r="O1" s="169" t="s">
        <v>137</v>
      </c>
    </row>
    <row r="2" spans="1:15" ht="15" customHeight="1" thickBot="1" x14ac:dyDescent="0.25">
      <c r="A2" t="s">
        <v>124</v>
      </c>
      <c r="C2" s="93"/>
      <c r="D2" s="473" t="s">
        <v>24</v>
      </c>
      <c r="E2" s="474"/>
      <c r="F2" s="474"/>
      <c r="G2" s="474"/>
      <c r="H2" s="474"/>
      <c r="I2" s="474"/>
      <c r="J2" s="475"/>
      <c r="K2" s="95"/>
      <c r="L2" s="465" t="s">
        <v>61</v>
      </c>
      <c r="M2" s="466"/>
      <c r="N2" s="467"/>
      <c r="O2" s="95"/>
    </row>
    <row r="3" spans="1:15" ht="13.5" thickBot="1" x14ac:dyDescent="0.25">
      <c r="A3" t="s">
        <v>125</v>
      </c>
      <c r="C3" s="93"/>
      <c r="D3" s="96" t="s">
        <v>92</v>
      </c>
      <c r="E3" s="141">
        <v>0.05</v>
      </c>
      <c r="F3" s="142">
        <v>0.1</v>
      </c>
      <c r="G3" s="142">
        <v>0.15</v>
      </c>
      <c r="H3" s="142">
        <v>0.2</v>
      </c>
      <c r="I3" s="142">
        <v>0.25</v>
      </c>
      <c r="J3" s="143"/>
      <c r="K3" s="87"/>
      <c r="L3" s="93"/>
      <c r="M3" s="93"/>
      <c r="N3" s="93"/>
      <c r="O3" s="94"/>
    </row>
    <row r="4" spans="1:15" x14ac:dyDescent="0.2">
      <c r="A4" s="8" t="s">
        <v>123</v>
      </c>
      <c r="C4" s="93"/>
      <c r="D4" s="122" t="s">
        <v>3</v>
      </c>
      <c r="E4" s="125">
        <v>3.5</v>
      </c>
      <c r="F4" s="1">
        <v>5</v>
      </c>
      <c r="G4" s="1">
        <v>6.2</v>
      </c>
      <c r="H4" s="1">
        <v>8</v>
      </c>
      <c r="I4" s="1">
        <v>9.4</v>
      </c>
      <c r="J4" s="85"/>
      <c r="K4" s="87"/>
      <c r="L4" s="99" t="s">
        <v>14</v>
      </c>
      <c r="M4" s="98"/>
      <c r="N4" s="135">
        <v>1.5</v>
      </c>
      <c r="O4" s="94"/>
    </row>
    <row r="5" spans="1:15" x14ac:dyDescent="0.2">
      <c r="A5" s="8" t="s">
        <v>113</v>
      </c>
      <c r="C5" s="93"/>
      <c r="D5" s="123"/>
      <c r="E5" s="125">
        <v>3.2</v>
      </c>
      <c r="F5" s="1">
        <v>4.7</v>
      </c>
      <c r="G5" s="1">
        <v>6.1</v>
      </c>
      <c r="H5" s="1">
        <v>7.7</v>
      </c>
      <c r="I5" s="1">
        <v>9.5</v>
      </c>
      <c r="J5" s="85"/>
      <c r="K5" s="87"/>
      <c r="L5" s="102"/>
      <c r="M5" s="101"/>
      <c r="N5" s="136">
        <v>1.4</v>
      </c>
      <c r="O5" s="89"/>
    </row>
    <row r="6" spans="1:15" x14ac:dyDescent="0.2">
      <c r="A6" s="6" t="s">
        <v>122</v>
      </c>
      <c r="C6" s="93"/>
      <c r="D6" s="123"/>
      <c r="E6" s="125"/>
      <c r="F6" s="1"/>
      <c r="G6" s="1"/>
      <c r="H6" s="1"/>
      <c r="I6" s="1"/>
      <c r="J6" s="85"/>
      <c r="K6" s="87"/>
      <c r="L6" s="102"/>
      <c r="M6" s="101"/>
      <c r="N6" s="136"/>
      <c r="O6" s="89"/>
    </row>
    <row r="7" spans="1:15" ht="13.5" thickBot="1" x14ac:dyDescent="0.25">
      <c r="A7" s="8"/>
      <c r="C7" s="93"/>
      <c r="D7" s="124"/>
      <c r="E7" s="126"/>
      <c r="F7" s="92"/>
      <c r="G7" s="92"/>
      <c r="H7" s="92"/>
      <c r="I7" s="92"/>
      <c r="J7" s="86"/>
      <c r="K7" s="87"/>
      <c r="L7" s="104"/>
      <c r="M7" s="103"/>
      <c r="N7" s="137"/>
      <c r="O7" s="89"/>
    </row>
    <row r="8" spans="1:15" ht="13.5" thickBot="1" x14ac:dyDescent="0.25">
      <c r="A8" s="319" t="s">
        <v>129</v>
      </c>
      <c r="C8" s="93"/>
      <c r="D8" s="93"/>
      <c r="E8" s="93"/>
      <c r="F8" s="93"/>
      <c r="G8" s="93"/>
      <c r="H8" s="93"/>
      <c r="I8" s="93"/>
      <c r="J8" s="93"/>
      <c r="K8" s="105"/>
      <c r="L8" s="93"/>
      <c r="M8" s="93"/>
      <c r="N8" s="93"/>
      <c r="O8" s="89"/>
    </row>
    <row r="9" spans="1:15" ht="14.25" customHeight="1" thickBot="1" x14ac:dyDescent="0.25">
      <c r="A9" s="8" t="s">
        <v>130</v>
      </c>
      <c r="C9" s="93"/>
      <c r="D9" s="468" t="s">
        <v>68</v>
      </c>
      <c r="E9" s="469"/>
      <c r="F9" s="469"/>
      <c r="G9" s="469"/>
      <c r="H9" s="469"/>
      <c r="I9" s="469"/>
      <c r="J9" s="470"/>
      <c r="K9" s="105"/>
      <c r="L9" s="93"/>
      <c r="M9" s="93"/>
      <c r="N9" s="93"/>
      <c r="O9" s="94"/>
    </row>
    <row r="10" spans="1:15" ht="13.5" thickBot="1" x14ac:dyDescent="0.25">
      <c r="A10" s="8" t="s">
        <v>131</v>
      </c>
      <c r="C10" s="93"/>
      <c r="D10" s="106" t="s">
        <v>5</v>
      </c>
      <c r="E10" s="141">
        <v>1</v>
      </c>
      <c r="F10" s="142">
        <v>1.5</v>
      </c>
      <c r="G10" s="142">
        <v>2</v>
      </c>
      <c r="H10" s="142"/>
      <c r="I10" s="142"/>
      <c r="J10" s="143"/>
      <c r="K10" s="105"/>
      <c r="L10" s="93"/>
      <c r="M10" s="93"/>
      <c r="N10" s="93"/>
      <c r="O10" s="94"/>
    </row>
    <row r="11" spans="1:15" x14ac:dyDescent="0.2">
      <c r="C11" s="93"/>
      <c r="D11" s="90" t="s">
        <v>4</v>
      </c>
      <c r="E11" s="125">
        <v>4.9000000000000004</v>
      </c>
      <c r="F11" s="1">
        <v>6.3</v>
      </c>
      <c r="G11" s="1">
        <v>7.7</v>
      </c>
      <c r="H11" s="1"/>
      <c r="I11" s="1"/>
      <c r="J11" s="85"/>
      <c r="K11" s="105"/>
      <c r="L11" s="93"/>
      <c r="M11" s="93"/>
      <c r="N11" s="93"/>
      <c r="O11" s="107"/>
    </row>
    <row r="12" spans="1:15" x14ac:dyDescent="0.2">
      <c r="A12" s="170" t="s">
        <v>143</v>
      </c>
      <c r="C12" s="93"/>
      <c r="D12" s="88"/>
      <c r="E12" s="125">
        <v>4.8</v>
      </c>
      <c r="F12" s="1">
        <v>6.5</v>
      </c>
      <c r="G12" s="1">
        <v>7.7</v>
      </c>
      <c r="H12" s="1"/>
      <c r="I12" s="1"/>
      <c r="J12" s="85"/>
      <c r="K12" s="105"/>
      <c r="L12" s="93"/>
      <c r="M12" s="93"/>
      <c r="N12" s="93"/>
      <c r="O12" s="107"/>
    </row>
    <row r="13" spans="1:15" x14ac:dyDescent="0.2">
      <c r="A13" s="393" t="s">
        <v>144</v>
      </c>
      <c r="C13" s="93"/>
      <c r="D13" s="88"/>
      <c r="E13" s="125"/>
      <c r="F13" s="1"/>
      <c r="G13" s="1"/>
      <c r="H13" s="1"/>
      <c r="I13" s="1"/>
      <c r="J13" s="85"/>
      <c r="K13" s="105"/>
      <c r="L13" s="93"/>
      <c r="M13" s="93"/>
      <c r="N13" s="93"/>
      <c r="O13" s="107"/>
    </row>
    <row r="14" spans="1:15" ht="13.5" thickBot="1" x14ac:dyDescent="0.25">
      <c r="C14" s="93"/>
      <c r="D14" s="91"/>
      <c r="E14" s="126"/>
      <c r="F14" s="92"/>
      <c r="G14" s="92"/>
      <c r="H14" s="92"/>
      <c r="I14" s="92"/>
      <c r="J14" s="86"/>
      <c r="K14" s="105"/>
      <c r="L14" s="93"/>
      <c r="M14" s="93"/>
      <c r="N14" s="93"/>
      <c r="O14" s="107"/>
    </row>
    <row r="15" spans="1:15" ht="13.5" thickBot="1" x14ac:dyDescent="0.25">
      <c r="A15" s="170" t="s">
        <v>136</v>
      </c>
      <c r="C15" s="93"/>
      <c r="D15" s="93"/>
      <c r="E15" s="93"/>
      <c r="F15" s="93"/>
      <c r="G15" s="93"/>
      <c r="H15" s="93"/>
      <c r="I15" s="93"/>
      <c r="J15" s="93"/>
      <c r="K15" s="108"/>
      <c r="L15" s="93"/>
      <c r="M15" s="93"/>
      <c r="N15" s="93"/>
      <c r="O15" s="107"/>
    </row>
    <row r="16" spans="1:15" x14ac:dyDescent="0.2">
      <c r="A16" s="393" t="s">
        <v>145</v>
      </c>
      <c r="C16" s="93"/>
      <c r="D16" s="133" t="s">
        <v>120</v>
      </c>
      <c r="E16" s="476"/>
      <c r="F16" s="477"/>
      <c r="G16" s="109"/>
      <c r="H16" s="109"/>
      <c r="I16" s="93"/>
      <c r="J16" s="93"/>
      <c r="K16" s="108"/>
      <c r="L16" s="93"/>
      <c r="M16" s="93"/>
      <c r="N16" s="93"/>
      <c r="O16" s="107"/>
    </row>
    <row r="17" spans="1:15" ht="13.5" thickBot="1" x14ac:dyDescent="0.25">
      <c r="A17" s="393" t="s">
        <v>138</v>
      </c>
      <c r="C17" s="93"/>
      <c r="D17" s="134" t="s">
        <v>25</v>
      </c>
      <c r="E17" s="126">
        <v>1</v>
      </c>
      <c r="F17" s="86"/>
      <c r="G17" s="109"/>
      <c r="H17" s="109"/>
      <c r="I17" s="93"/>
      <c r="J17" s="93"/>
      <c r="K17" s="109"/>
      <c r="L17" s="93"/>
      <c r="M17" s="93"/>
      <c r="N17" s="93"/>
      <c r="O17" s="107"/>
    </row>
    <row r="18" spans="1:15" ht="13.5" thickBot="1" x14ac:dyDescent="0.25">
      <c r="A18" s="393" t="s">
        <v>139</v>
      </c>
      <c r="C18" s="93"/>
      <c r="D18" s="110"/>
      <c r="E18" s="111"/>
      <c r="F18" s="109"/>
      <c r="G18" s="109"/>
      <c r="H18" s="109"/>
      <c r="I18" s="93"/>
      <c r="J18" s="93"/>
      <c r="K18" s="109"/>
      <c r="L18" s="93"/>
      <c r="M18" s="93"/>
      <c r="N18" s="93"/>
      <c r="O18" s="107"/>
    </row>
    <row r="19" spans="1:15" x14ac:dyDescent="0.2">
      <c r="C19" s="93"/>
      <c r="D19" s="138" t="s">
        <v>119</v>
      </c>
      <c r="E19" s="93"/>
      <c r="F19" s="161" t="s">
        <v>25</v>
      </c>
      <c r="G19" s="127">
        <v>-0.95</v>
      </c>
      <c r="H19" s="128">
        <v>0.95</v>
      </c>
      <c r="I19" s="93"/>
      <c r="J19" s="93"/>
      <c r="K19" s="109"/>
      <c r="L19" s="93"/>
      <c r="M19" s="93"/>
      <c r="N19" s="93"/>
      <c r="O19" s="107"/>
    </row>
    <row r="20" spans="1:15" ht="16.5" thickBot="1" x14ac:dyDescent="0.25">
      <c r="C20" s="93"/>
      <c r="D20" s="139">
        <v>5000</v>
      </c>
      <c r="E20" s="93"/>
      <c r="F20" s="168">
        <v>495.82268802566045</v>
      </c>
      <c r="G20" s="162">
        <v>478.72549218394539</v>
      </c>
      <c r="H20" s="163">
        <v>513.10179112947208</v>
      </c>
      <c r="I20" s="93"/>
      <c r="J20" s="93"/>
      <c r="K20" s="109"/>
      <c r="L20" s="93"/>
      <c r="M20" s="93"/>
      <c r="N20" s="93"/>
      <c r="O20" s="107"/>
    </row>
    <row r="21" spans="1:15" ht="13.5" thickBot="1" x14ac:dyDescent="0.25">
      <c r="C21" s="100"/>
      <c r="D21" s="93"/>
      <c r="E21" s="93"/>
      <c r="F21" s="93"/>
      <c r="G21" s="93"/>
      <c r="H21" s="93"/>
      <c r="I21" s="93"/>
      <c r="J21" s="93" t="s">
        <v>121</v>
      </c>
      <c r="K21" s="109"/>
      <c r="L21" s="93"/>
      <c r="M21" s="93"/>
      <c r="N21" s="93"/>
      <c r="O21" s="94"/>
    </row>
    <row r="22" spans="1:15" x14ac:dyDescent="0.2">
      <c r="C22" s="100"/>
      <c r="D22" s="99"/>
      <c r="E22" s="167" t="s">
        <v>117</v>
      </c>
      <c r="F22" s="167" t="s">
        <v>118</v>
      </c>
      <c r="G22" s="98"/>
      <c r="H22" s="93"/>
      <c r="I22" s="93"/>
      <c r="J22" s="93"/>
      <c r="K22" s="109"/>
      <c r="L22" s="93"/>
      <c r="M22" s="93"/>
      <c r="N22" s="93"/>
      <c r="O22" s="94"/>
    </row>
    <row r="23" spans="1:15" x14ac:dyDescent="0.2">
      <c r="C23" s="100"/>
      <c r="D23" s="140" t="s">
        <v>61</v>
      </c>
      <c r="E23" s="113">
        <v>7.4411653290505173</v>
      </c>
      <c r="F23" s="112">
        <v>5.1173572046536719</v>
      </c>
      <c r="G23" s="164" t="s">
        <v>59</v>
      </c>
      <c r="H23" s="93"/>
      <c r="I23" s="93"/>
      <c r="J23" s="93"/>
      <c r="K23" s="109"/>
      <c r="L23" s="93"/>
      <c r="M23" s="93"/>
      <c r="N23" s="93"/>
      <c r="O23" s="94"/>
    </row>
    <row r="24" spans="1:15" x14ac:dyDescent="0.2">
      <c r="C24" s="93"/>
      <c r="D24" s="129" t="s">
        <v>63</v>
      </c>
      <c r="E24" s="113">
        <v>1.2857142857147361</v>
      </c>
      <c r="F24" s="112">
        <v>5.1173572046536719</v>
      </c>
      <c r="G24" s="165" t="s">
        <v>114</v>
      </c>
      <c r="H24" s="93"/>
      <c r="I24" s="109"/>
      <c r="J24" s="109"/>
      <c r="K24" s="109"/>
      <c r="L24" s="93"/>
      <c r="M24" s="93"/>
      <c r="N24" s="93"/>
      <c r="O24" s="94"/>
    </row>
    <row r="25" spans="1:15" ht="13.5" thickBot="1" x14ac:dyDescent="0.25">
      <c r="C25" s="93"/>
      <c r="D25" s="130" t="s">
        <v>62</v>
      </c>
      <c r="E25" s="131">
        <v>1.4</v>
      </c>
      <c r="F25" s="132">
        <v>3.6330902730696835</v>
      </c>
      <c r="G25" s="166" t="s">
        <v>114</v>
      </c>
      <c r="H25" s="93"/>
      <c r="I25" s="109"/>
      <c r="J25" s="109"/>
      <c r="K25" s="109"/>
      <c r="L25" s="93"/>
      <c r="M25" s="93"/>
      <c r="N25" s="93"/>
      <c r="O25" s="94"/>
    </row>
    <row r="26" spans="1:15" ht="13.5" thickBot="1" x14ac:dyDescent="0.25">
      <c r="C26" s="93"/>
      <c r="D26" s="94"/>
      <c r="E26" s="94"/>
      <c r="F26" s="94"/>
      <c r="G26" s="109"/>
      <c r="H26" s="109"/>
      <c r="I26" s="114"/>
      <c r="J26" s="114"/>
      <c r="K26" s="114"/>
      <c r="L26" s="93"/>
      <c r="M26" s="93"/>
      <c r="N26" s="93"/>
      <c r="O26" s="94"/>
    </row>
    <row r="27" spans="1:15" x14ac:dyDescent="0.2">
      <c r="C27" s="93"/>
      <c r="D27" s="144" t="s">
        <v>115</v>
      </c>
      <c r="E27" s="97"/>
      <c r="F27" s="145"/>
      <c r="G27" s="146"/>
      <c r="H27" s="147"/>
      <c r="I27" s="109"/>
      <c r="J27" s="109"/>
      <c r="K27" s="109"/>
      <c r="L27" s="93"/>
      <c r="M27" s="93"/>
      <c r="N27" s="93"/>
      <c r="O27" s="94"/>
    </row>
    <row r="28" spans="1:15" x14ac:dyDescent="0.2">
      <c r="C28" s="93"/>
      <c r="D28" s="148" t="s">
        <v>116</v>
      </c>
      <c r="E28" s="100"/>
      <c r="F28" s="149"/>
      <c r="G28" s="150"/>
      <c r="H28" s="151"/>
      <c r="I28" s="109"/>
      <c r="J28" s="109"/>
      <c r="K28" s="109"/>
      <c r="L28" s="93"/>
      <c r="M28" s="93"/>
      <c r="N28" s="93"/>
      <c r="O28" s="94"/>
    </row>
    <row r="29" spans="1:15" x14ac:dyDescent="0.2">
      <c r="C29" s="93"/>
      <c r="D29" s="152"/>
      <c r="E29" s="153"/>
      <c r="F29" s="154"/>
      <c r="G29" s="154"/>
      <c r="H29" s="155"/>
      <c r="I29" s="94"/>
      <c r="J29" s="94"/>
      <c r="K29" s="94"/>
      <c r="L29" s="93"/>
      <c r="M29" s="93"/>
      <c r="N29" s="93"/>
      <c r="O29" s="94"/>
    </row>
    <row r="30" spans="1:15" ht="13.5" thickBot="1" x14ac:dyDescent="0.25">
      <c r="C30" s="93"/>
      <c r="D30" s="156"/>
      <c r="E30" s="157"/>
      <c r="F30" s="158"/>
      <c r="G30" s="159"/>
      <c r="H30" s="160"/>
      <c r="I30" s="94"/>
      <c r="J30" s="94"/>
      <c r="K30" s="94"/>
      <c r="L30" s="93"/>
      <c r="M30" s="93"/>
      <c r="N30" s="93"/>
      <c r="O30" s="94"/>
    </row>
    <row r="31" spans="1:15" x14ac:dyDescent="0.2">
      <c r="C31" s="93"/>
      <c r="D31" s="93"/>
      <c r="E31" s="93"/>
      <c r="F31" s="93"/>
      <c r="G31" s="93"/>
      <c r="H31" s="93"/>
      <c r="I31" s="114"/>
      <c r="J31" s="114"/>
      <c r="K31" s="114"/>
      <c r="L31" s="93"/>
      <c r="M31" s="93"/>
      <c r="N31" s="93"/>
      <c r="O31" s="94"/>
    </row>
    <row r="32" spans="1:15" x14ac:dyDescent="0.2">
      <c r="C32" s="93"/>
      <c r="D32" s="93"/>
      <c r="E32" s="93"/>
      <c r="F32" s="93"/>
      <c r="G32" s="93"/>
      <c r="H32" s="93"/>
      <c r="I32" s="94"/>
      <c r="J32" s="94"/>
      <c r="K32" s="94"/>
      <c r="L32" s="93"/>
      <c r="M32" s="93"/>
      <c r="N32" s="93"/>
      <c r="O32" s="94"/>
    </row>
    <row r="33" spans="3:15" x14ac:dyDescent="0.2">
      <c r="C33" s="93"/>
      <c r="D33" s="93" t="s">
        <v>112</v>
      </c>
      <c r="E33" s="93"/>
      <c r="F33" s="93"/>
      <c r="G33" s="93"/>
      <c r="H33" s="93"/>
      <c r="I33" s="94"/>
      <c r="J33" s="94"/>
      <c r="K33" s="94"/>
      <c r="L33" s="93"/>
      <c r="M33" s="93"/>
      <c r="N33" s="93"/>
      <c r="O33" s="94"/>
    </row>
    <row r="34" spans="3:15" x14ac:dyDescent="0.2">
      <c r="C34" s="93"/>
      <c r="D34" s="93" t="s">
        <v>123</v>
      </c>
      <c r="E34" s="93"/>
      <c r="F34" s="93"/>
      <c r="G34" s="93"/>
      <c r="H34" s="93"/>
      <c r="I34" s="94"/>
      <c r="J34" s="94"/>
      <c r="K34" s="94"/>
      <c r="L34" s="93"/>
      <c r="M34" s="93"/>
      <c r="N34" s="93"/>
      <c r="O34" s="94"/>
    </row>
    <row r="35" spans="3:15" x14ac:dyDescent="0.2">
      <c r="C35" s="93"/>
      <c r="D35" s="93" t="s">
        <v>113</v>
      </c>
      <c r="E35" s="94"/>
      <c r="F35" s="94"/>
      <c r="G35" s="94"/>
      <c r="H35" s="94"/>
      <c r="I35" s="94"/>
      <c r="J35" s="94"/>
      <c r="K35" s="94"/>
      <c r="L35" s="93"/>
      <c r="M35" s="93"/>
      <c r="N35" s="93"/>
      <c r="O35" s="94"/>
    </row>
    <row r="36" spans="3:15" x14ac:dyDescent="0.2">
      <c r="C36" s="93"/>
      <c r="D36" s="94" t="s">
        <v>122</v>
      </c>
      <c r="E36" s="94"/>
      <c r="F36" s="94"/>
      <c r="G36" s="94"/>
      <c r="H36" s="94"/>
      <c r="I36" s="94"/>
      <c r="J36" s="94"/>
      <c r="K36" s="94"/>
      <c r="L36" s="93"/>
      <c r="M36" s="93"/>
      <c r="N36" s="93"/>
      <c r="O36" s="94"/>
    </row>
  </sheetData>
  <mergeCells count="4">
    <mergeCell ref="D2:J2"/>
    <mergeCell ref="L2:N2"/>
    <mergeCell ref="D9:J9"/>
    <mergeCell ref="E16:F16"/>
  </mergeCells>
  <phoneticPr fontId="10" type="noConversion"/>
  <conditionalFormatting sqref="G23">
    <cfRule type="expression" dxfId="5" priority="1" stopIfTrue="1">
      <formula>$E$23&lt;$F$23</formula>
    </cfRule>
    <cfRule type="expression" dxfId="4" priority="2" stopIfTrue="1">
      <formula>$E$23&gt;=$F$23</formula>
    </cfRule>
  </conditionalFormatting>
  <conditionalFormatting sqref="G24">
    <cfRule type="expression" dxfId="3" priority="3" stopIfTrue="1">
      <formula>$E$24&lt;$F$24</formula>
    </cfRule>
    <cfRule type="expression" dxfId="2" priority="4" stopIfTrue="1">
      <formula>$E$24&gt;=$F$24</formula>
    </cfRule>
  </conditionalFormatting>
  <conditionalFormatting sqref="G25">
    <cfRule type="expression" dxfId="1" priority="5" stopIfTrue="1">
      <formula>$E$25&lt;$F$25</formula>
    </cfRule>
    <cfRule type="expression" dxfId="0" priority="6" stopIfTrue="1">
      <formula>$E$25&gt;=$F$25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M266"/>
  <sheetViews>
    <sheetView zoomScaleNormal="100" workbookViewId="0">
      <selection activeCell="N2" sqref="N2"/>
    </sheetView>
  </sheetViews>
  <sheetFormatPr defaultRowHeight="12.75" x14ac:dyDescent="0.2"/>
  <cols>
    <col min="1" max="1" width="5.28515625" customWidth="1"/>
    <col min="2" max="2" width="18.140625" customWidth="1"/>
    <col min="14" max="14" width="30.7109375" customWidth="1"/>
    <col min="15" max="20" width="11.140625" customWidth="1"/>
    <col min="21" max="21" width="8.7109375" customWidth="1"/>
    <col min="22" max="22" width="23.28515625" customWidth="1"/>
    <col min="23" max="28" width="8.85546875" customWidth="1"/>
    <col min="33" max="33" width="21.28515625" customWidth="1"/>
    <col min="38" max="38" width="21.28515625" customWidth="1"/>
  </cols>
  <sheetData>
    <row r="1" spans="1:39" ht="13.5" thickBot="1" x14ac:dyDescent="0.25">
      <c r="A1" s="172"/>
      <c r="B1" s="173"/>
      <c r="C1" s="174"/>
      <c r="D1" s="174"/>
      <c r="E1" s="174"/>
      <c r="F1" s="174"/>
      <c r="G1" s="174"/>
      <c r="H1" s="174"/>
      <c r="I1" s="174"/>
      <c r="J1" s="174"/>
      <c r="K1" s="174"/>
      <c r="L1" s="174"/>
      <c r="O1" s="6"/>
      <c r="P1" s="6"/>
      <c r="Q1" s="6"/>
      <c r="R1" s="6"/>
      <c r="S1" s="6"/>
      <c r="T1" s="6"/>
      <c r="U1" s="6"/>
      <c r="V1" s="6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  <c r="AK1" s="8"/>
      <c r="AL1" s="8"/>
      <c r="AM1" s="8"/>
    </row>
    <row r="2" spans="1:39" ht="18.75" thickBot="1" x14ac:dyDescent="0.25">
      <c r="A2" s="176"/>
      <c r="B2" s="480" t="s">
        <v>24</v>
      </c>
      <c r="C2" s="463"/>
      <c r="D2" s="463"/>
      <c r="E2" s="463"/>
      <c r="F2" s="463"/>
      <c r="G2" s="463"/>
      <c r="H2" s="464"/>
      <c r="I2" s="177"/>
      <c r="J2" s="465" t="s">
        <v>61</v>
      </c>
      <c r="K2" s="466"/>
      <c r="L2" s="467"/>
      <c r="O2" s="310" t="s">
        <v>142</v>
      </c>
      <c r="V2" s="6"/>
    </row>
    <row r="3" spans="1:39" ht="13.5" thickBot="1" x14ac:dyDescent="0.25">
      <c r="A3" s="176"/>
      <c r="B3" s="179" t="s">
        <v>92</v>
      </c>
      <c r="C3" s="318"/>
      <c r="D3" s="142"/>
      <c r="E3" s="317"/>
      <c r="F3" s="142"/>
      <c r="G3" s="142"/>
      <c r="H3" s="143"/>
      <c r="I3" s="180"/>
      <c r="J3" s="181"/>
      <c r="K3" s="181"/>
      <c r="L3" s="181"/>
      <c r="V3" s="6"/>
    </row>
    <row r="4" spans="1:39" x14ac:dyDescent="0.2">
      <c r="A4" s="176"/>
      <c r="B4" s="316" t="s">
        <v>3</v>
      </c>
      <c r="D4" s="1"/>
      <c r="E4" s="1"/>
      <c r="F4" s="1"/>
      <c r="G4" s="1"/>
      <c r="H4" s="136"/>
      <c r="I4" s="180"/>
      <c r="J4" s="172"/>
      <c r="K4" s="186"/>
      <c r="L4" s="313"/>
      <c r="V4" s="6"/>
      <c r="W4" s="3"/>
      <c r="X4" s="1"/>
      <c r="Y4" s="1"/>
      <c r="Z4" s="1"/>
      <c r="AA4" s="1"/>
      <c r="AB4" s="3"/>
      <c r="AC4" s="1"/>
      <c r="AD4" s="1"/>
      <c r="AE4" s="1"/>
      <c r="AF4" s="1"/>
      <c r="AG4" s="3"/>
      <c r="AH4" s="1"/>
      <c r="AI4" s="1"/>
      <c r="AJ4" s="1"/>
      <c r="AK4" s="1"/>
      <c r="AL4" s="3"/>
      <c r="AM4" s="1"/>
    </row>
    <row r="5" spans="1:39" x14ac:dyDescent="0.2">
      <c r="A5" s="176"/>
      <c r="B5" s="316"/>
      <c r="D5" s="1"/>
      <c r="E5" s="1"/>
      <c r="F5" s="1"/>
      <c r="G5" s="1"/>
      <c r="H5" s="136"/>
      <c r="I5" s="180"/>
      <c r="J5" s="176"/>
      <c r="K5" s="185"/>
      <c r="L5" s="312"/>
      <c r="V5" s="6"/>
      <c r="W5" s="3"/>
      <c r="X5" s="1"/>
      <c r="Y5" s="1"/>
      <c r="Z5" s="1"/>
      <c r="AA5" s="1"/>
      <c r="AB5" s="3"/>
      <c r="AC5" s="1"/>
      <c r="AD5" s="1"/>
      <c r="AE5" s="1"/>
      <c r="AF5" s="1"/>
      <c r="AG5" s="3"/>
      <c r="AH5" s="1"/>
      <c r="AI5" s="1"/>
      <c r="AJ5" s="1"/>
      <c r="AK5" s="1"/>
      <c r="AL5" s="3"/>
      <c r="AM5" s="1"/>
    </row>
    <row r="6" spans="1:39" x14ac:dyDescent="0.2">
      <c r="A6" s="176"/>
      <c r="B6" s="316"/>
      <c r="D6" s="1"/>
      <c r="E6" s="1"/>
      <c r="F6" s="1"/>
      <c r="G6" s="1"/>
      <c r="H6" s="136"/>
      <c r="I6" s="180"/>
      <c r="J6" s="176"/>
      <c r="K6" s="185"/>
      <c r="L6" s="312"/>
      <c r="V6" s="6"/>
      <c r="W6" s="3"/>
      <c r="X6" s="1"/>
      <c r="Y6" s="1"/>
      <c r="Z6" s="1"/>
      <c r="AA6" s="1"/>
      <c r="AB6" s="3"/>
      <c r="AC6" s="1"/>
      <c r="AD6" s="1"/>
      <c r="AE6" s="1"/>
      <c r="AF6" s="1"/>
      <c r="AG6" s="3"/>
      <c r="AH6" s="1"/>
      <c r="AI6" s="1"/>
      <c r="AJ6" s="1"/>
      <c r="AK6" s="1"/>
      <c r="AL6" s="3"/>
      <c r="AM6" s="1"/>
    </row>
    <row r="7" spans="1:39" x14ac:dyDescent="0.2">
      <c r="A7" s="176"/>
      <c r="B7" s="187"/>
      <c r="D7" s="1"/>
      <c r="E7" s="1"/>
      <c r="F7" s="1"/>
      <c r="G7" s="1"/>
      <c r="H7" s="136"/>
      <c r="I7" s="180"/>
      <c r="J7" s="176"/>
      <c r="K7" s="185"/>
      <c r="L7" s="312"/>
      <c r="V7" s="6"/>
      <c r="W7" s="2"/>
      <c r="X7" s="1"/>
      <c r="Y7" s="1"/>
      <c r="Z7" s="1"/>
      <c r="AA7" s="1"/>
      <c r="AB7" s="2"/>
      <c r="AC7" s="1"/>
      <c r="AD7" s="1"/>
      <c r="AE7" s="1"/>
      <c r="AF7" s="1"/>
      <c r="AG7" s="2"/>
      <c r="AH7" s="1"/>
      <c r="AI7" s="1"/>
      <c r="AJ7" s="1"/>
      <c r="AK7" s="1"/>
      <c r="AL7" s="2"/>
      <c r="AM7" s="1"/>
    </row>
    <row r="8" spans="1:39" x14ac:dyDescent="0.2">
      <c r="A8" s="176"/>
      <c r="B8" s="187"/>
      <c r="C8" s="125"/>
      <c r="D8" s="1"/>
      <c r="E8" s="1"/>
      <c r="F8" s="1"/>
      <c r="G8" s="1"/>
      <c r="H8" s="136"/>
      <c r="I8" s="180"/>
      <c r="J8" s="176"/>
      <c r="K8" s="185"/>
      <c r="L8" s="312"/>
      <c r="AE8" s="1"/>
      <c r="AF8" s="1"/>
      <c r="AG8" s="1"/>
      <c r="AH8" s="1"/>
      <c r="AI8" s="5"/>
      <c r="AJ8" s="1"/>
      <c r="AK8" s="1"/>
      <c r="AL8" s="1"/>
      <c r="AM8" s="1"/>
    </row>
    <row r="9" spans="1:39" ht="13.5" thickBot="1" x14ac:dyDescent="0.25">
      <c r="A9" s="176"/>
      <c r="B9" s="188"/>
      <c r="C9" s="126"/>
      <c r="D9" s="92"/>
      <c r="E9" s="92"/>
      <c r="F9" s="92"/>
      <c r="G9" s="92"/>
      <c r="H9" s="137"/>
      <c r="I9" s="180"/>
      <c r="J9" s="189"/>
      <c r="K9" s="191"/>
      <c r="L9" s="314"/>
      <c r="AE9" s="1"/>
      <c r="AF9" s="1"/>
      <c r="AG9" s="1"/>
      <c r="AH9" s="1"/>
      <c r="AI9" s="1"/>
      <c r="AJ9" s="1"/>
      <c r="AK9" s="1"/>
      <c r="AL9" s="1"/>
      <c r="AM9" s="1"/>
    </row>
    <row r="10" spans="1:39" ht="13.5" thickBot="1" x14ac:dyDescent="0.25">
      <c r="A10" s="176"/>
      <c r="B10" s="181"/>
      <c r="C10" s="181"/>
      <c r="D10" s="181"/>
      <c r="E10" s="181"/>
      <c r="F10" s="181"/>
      <c r="G10" s="181"/>
      <c r="H10" s="181"/>
      <c r="I10" s="192"/>
      <c r="J10" s="181"/>
      <c r="K10" s="181"/>
      <c r="L10" s="181"/>
      <c r="AE10" s="1"/>
      <c r="AF10" s="1"/>
      <c r="AG10" s="1"/>
      <c r="AH10" s="1"/>
      <c r="AI10" s="1"/>
      <c r="AJ10" s="1"/>
      <c r="AK10" s="1"/>
      <c r="AL10" s="1"/>
      <c r="AM10" s="1"/>
    </row>
    <row r="11" spans="1:39" ht="18.75" thickBot="1" x14ac:dyDescent="0.25">
      <c r="A11" s="176"/>
      <c r="B11" s="468" t="s">
        <v>68</v>
      </c>
      <c r="C11" s="469"/>
      <c r="D11" s="469"/>
      <c r="E11" s="469"/>
      <c r="F11" s="469"/>
      <c r="G11" s="469"/>
      <c r="H11" s="470"/>
      <c r="I11" s="192"/>
      <c r="J11" s="181"/>
      <c r="K11" s="181"/>
      <c r="L11" s="181"/>
      <c r="AE11" s="4"/>
      <c r="AF11" s="1"/>
      <c r="AG11" s="3"/>
      <c r="AH11" s="4"/>
      <c r="AI11" s="4"/>
      <c r="AJ11" s="4"/>
      <c r="AK11" s="1"/>
      <c r="AL11" s="3"/>
      <c r="AM11" s="4"/>
    </row>
    <row r="12" spans="1:39" ht="13.5" thickBot="1" x14ac:dyDescent="0.25">
      <c r="A12" s="176"/>
      <c r="B12" s="193" t="s">
        <v>5</v>
      </c>
      <c r="C12" s="141"/>
      <c r="D12" s="142"/>
      <c r="E12" s="142"/>
      <c r="F12" s="142"/>
      <c r="G12" s="142"/>
      <c r="H12" s="143"/>
      <c r="I12" s="192"/>
      <c r="J12" s="181"/>
      <c r="K12" s="181"/>
      <c r="L12" s="181"/>
      <c r="AE12" s="4"/>
      <c r="AF12" s="1"/>
      <c r="AG12" s="3"/>
      <c r="AH12" s="4"/>
      <c r="AI12" s="4"/>
      <c r="AJ12" s="4"/>
      <c r="AK12" s="1"/>
      <c r="AL12" s="3"/>
      <c r="AM12" s="4"/>
    </row>
    <row r="13" spans="1:39" x14ac:dyDescent="0.2">
      <c r="A13" s="176"/>
      <c r="B13" s="194" t="s">
        <v>4</v>
      </c>
      <c r="C13" s="125"/>
      <c r="D13" s="1"/>
      <c r="E13" s="1"/>
      <c r="F13" s="9"/>
      <c r="G13" s="9"/>
      <c r="H13" s="136"/>
      <c r="I13" s="192"/>
      <c r="J13" s="181"/>
      <c r="K13" s="181"/>
      <c r="L13" s="181"/>
      <c r="AE13" s="4"/>
      <c r="AF13" s="1"/>
      <c r="AG13" s="3"/>
      <c r="AH13" s="4"/>
      <c r="AI13" s="4"/>
      <c r="AJ13" s="4"/>
      <c r="AK13" s="1"/>
      <c r="AL13" s="3"/>
      <c r="AM13" s="4"/>
    </row>
    <row r="14" spans="1:39" x14ac:dyDescent="0.2">
      <c r="A14" s="176"/>
      <c r="B14" s="197"/>
      <c r="C14" s="315"/>
      <c r="D14" s="1"/>
      <c r="E14" s="1"/>
      <c r="F14" s="9"/>
      <c r="G14" s="9"/>
      <c r="H14" s="136"/>
      <c r="I14" s="192"/>
      <c r="J14" s="181"/>
      <c r="K14" s="181"/>
      <c r="L14" s="181"/>
      <c r="AE14" s="4"/>
      <c r="AF14" s="1"/>
      <c r="AG14" s="3"/>
      <c r="AH14" s="4"/>
      <c r="AI14" s="4"/>
      <c r="AJ14" s="4"/>
      <c r="AK14" s="1"/>
      <c r="AL14" s="3"/>
      <c r="AM14" s="4"/>
    </row>
    <row r="15" spans="1:39" x14ac:dyDescent="0.2">
      <c r="A15" s="176"/>
      <c r="B15" s="197"/>
      <c r="C15" s="315"/>
      <c r="D15" s="1"/>
      <c r="E15" s="1"/>
      <c r="F15" s="9"/>
      <c r="G15" s="9"/>
      <c r="H15" s="136"/>
      <c r="I15" s="192"/>
      <c r="J15" s="181"/>
      <c r="K15" s="181"/>
      <c r="L15" s="181"/>
      <c r="AE15" s="4"/>
      <c r="AF15" s="1"/>
      <c r="AG15" s="1"/>
      <c r="AH15" s="4"/>
      <c r="AI15" s="4"/>
      <c r="AJ15" s="4"/>
      <c r="AK15" s="1"/>
      <c r="AL15" s="1"/>
      <c r="AM15" s="4"/>
    </row>
    <row r="16" spans="1:39" x14ac:dyDescent="0.2">
      <c r="A16" s="176"/>
      <c r="B16" s="197"/>
      <c r="C16" s="315"/>
      <c r="D16" s="1"/>
      <c r="E16" s="1"/>
      <c r="F16" s="9"/>
      <c r="G16" s="9"/>
      <c r="H16" s="136"/>
      <c r="I16" s="192"/>
      <c r="J16" s="181"/>
      <c r="K16" s="181"/>
      <c r="L16" s="181"/>
      <c r="AE16" s="1"/>
      <c r="AF16" s="1"/>
      <c r="AG16" s="1"/>
      <c r="AH16" s="1"/>
      <c r="AI16" s="1"/>
      <c r="AJ16" s="1"/>
      <c r="AK16" s="1"/>
      <c r="AL16" s="1"/>
      <c r="AM16" s="1"/>
    </row>
    <row r="17" spans="1:39" x14ac:dyDescent="0.2">
      <c r="A17" s="176"/>
      <c r="B17" s="197"/>
      <c r="C17" s="125"/>
      <c r="D17" s="1"/>
      <c r="E17" s="1"/>
      <c r="F17" s="9"/>
      <c r="G17" s="9"/>
      <c r="H17" s="136"/>
      <c r="I17" s="192"/>
      <c r="J17" s="181"/>
      <c r="K17" s="181"/>
      <c r="L17" s="181"/>
      <c r="AE17" s="4"/>
      <c r="AF17" s="1"/>
      <c r="AG17" s="3"/>
      <c r="AH17" s="4"/>
      <c r="AI17" s="4"/>
      <c r="AJ17" s="4"/>
      <c r="AK17" s="1"/>
      <c r="AL17" s="3"/>
      <c r="AM17" s="4"/>
    </row>
    <row r="18" spans="1:39" ht="13.5" thickBot="1" x14ac:dyDescent="0.25">
      <c r="A18" s="176"/>
      <c r="B18" s="198"/>
      <c r="C18" s="126"/>
      <c r="D18" s="92"/>
      <c r="E18" s="92"/>
      <c r="F18" s="229"/>
      <c r="G18" s="229"/>
      <c r="H18" s="137"/>
      <c r="I18" s="192"/>
      <c r="J18" s="181"/>
      <c r="K18" s="181"/>
      <c r="L18" s="181"/>
      <c r="AE18" s="4"/>
      <c r="AF18" s="1"/>
      <c r="AG18" s="3"/>
      <c r="AH18" s="4"/>
      <c r="AI18" s="4"/>
      <c r="AJ18" s="4"/>
      <c r="AK18" s="1"/>
      <c r="AL18" s="3"/>
      <c r="AM18" s="4"/>
    </row>
    <row r="19" spans="1:39" x14ac:dyDescent="0.2">
      <c r="AE19" s="4"/>
      <c r="AF19" s="1"/>
      <c r="AG19" s="3"/>
      <c r="AH19" s="4"/>
      <c r="AI19" s="4"/>
      <c r="AJ19" s="4"/>
      <c r="AK19" s="1"/>
      <c r="AL19" s="3"/>
      <c r="AM19" s="4"/>
    </row>
    <row r="20" spans="1:39" x14ac:dyDescent="0.2">
      <c r="AE20" s="4"/>
      <c r="AF20" s="1"/>
      <c r="AG20" s="3"/>
      <c r="AH20" s="4"/>
      <c r="AI20" s="4"/>
      <c r="AJ20" s="4"/>
      <c r="AK20" s="1"/>
      <c r="AL20" s="3"/>
      <c r="AM20" s="4"/>
    </row>
    <row r="22" spans="1:39" ht="13.5" thickBot="1" x14ac:dyDescent="0.25">
      <c r="U22" s="6"/>
      <c r="V22" s="1"/>
      <c r="W22" s="1"/>
      <c r="X22" s="5"/>
      <c r="Y22" s="1"/>
      <c r="Z22" s="1"/>
      <c r="AA22" s="1"/>
      <c r="AB22" s="1"/>
      <c r="AC22" s="5"/>
    </row>
    <row r="23" spans="1:39" ht="18.75" thickBot="1" x14ac:dyDescent="0.25">
      <c r="N23" s="481" t="s">
        <v>68</v>
      </c>
      <c r="O23" s="482"/>
      <c r="P23" s="482"/>
      <c r="Q23" s="482"/>
      <c r="R23" s="482"/>
      <c r="S23" s="482"/>
      <c r="T23" s="483"/>
      <c r="U23" s="6"/>
      <c r="V23" s="462" t="s">
        <v>24</v>
      </c>
      <c r="W23" s="478"/>
      <c r="X23" s="478"/>
      <c r="Y23" s="478"/>
      <c r="Z23" s="478"/>
      <c r="AA23" s="478"/>
      <c r="AB23" s="479"/>
      <c r="AC23" s="1"/>
    </row>
    <row r="24" spans="1:39" x14ac:dyDescent="0.2">
      <c r="N24" s="252" t="s">
        <v>67</v>
      </c>
      <c r="O24" s="270" t="b">
        <f>IF(Calc!C12,TRUE(),FALSE())</f>
        <v>0</v>
      </c>
      <c r="P24" s="271" t="b">
        <f>IF(Calc!D12,TRUE(),FALSE())</f>
        <v>0</v>
      </c>
      <c r="Q24" s="270" t="b">
        <f>IF(Calc!E12,TRUE(),FALSE())</f>
        <v>0</v>
      </c>
      <c r="R24" s="271" t="b">
        <f>IF(Calc!F12,TRUE(),FALSE())</f>
        <v>0</v>
      </c>
      <c r="S24" s="270" t="b">
        <f>IF(Calc!G12,TRUE(),FALSE())</f>
        <v>0</v>
      </c>
      <c r="T24" s="266" t="b">
        <f>IF(Calc!H12,TRUE(),FALSE())</f>
        <v>0</v>
      </c>
      <c r="U24" s="6"/>
      <c r="V24" s="283" t="s">
        <v>67</v>
      </c>
      <c r="W24" s="292" t="b">
        <f>IF(Calc!C3,TRUE(),FALSE())</f>
        <v>0</v>
      </c>
      <c r="X24" s="293" t="b">
        <f>IF(Calc!D3,TRUE(),FALSE())</f>
        <v>0</v>
      </c>
      <c r="Y24" s="292" t="b">
        <f>IF(Calc!E3,TRUE(),FALSE())</f>
        <v>0</v>
      </c>
      <c r="Z24" s="293" t="b">
        <f>IF(Calc!F3,TRUE(),FALSE())</f>
        <v>0</v>
      </c>
      <c r="AA24" s="292" t="b">
        <f>IF(Calc!G3,TRUE(),FALSE())</f>
        <v>0</v>
      </c>
      <c r="AB24" s="294" t="b">
        <f>IF(Calc!H3,TRUE(),FALSE())</f>
        <v>0</v>
      </c>
      <c r="AC24" s="1"/>
    </row>
    <row r="25" spans="1:39" x14ac:dyDescent="0.2">
      <c r="N25" s="253" t="s">
        <v>66</v>
      </c>
      <c r="O25" s="272" t="b">
        <f>IF(Calc!C13="",FALSE(),TRUE())</f>
        <v>0</v>
      </c>
      <c r="P25" s="272" t="b">
        <f>IF(Calc!D13="",FALSE(),TRUE())</f>
        <v>0</v>
      </c>
      <c r="Q25" s="272" t="b">
        <f>IF(Calc!E13="",FALSE(),TRUE())</f>
        <v>0</v>
      </c>
      <c r="R25" s="277" t="b">
        <f>IF(Calc!F13="",FALSE(),TRUE())</f>
        <v>0</v>
      </c>
      <c r="S25" s="272" t="b">
        <f>IF(Calc!G13="",FALSE(),TRUE())</f>
        <v>0</v>
      </c>
      <c r="T25" s="277" t="b">
        <f>IF(Calc!H13="",FALSE(),TRUE())</f>
        <v>0</v>
      </c>
      <c r="U25" s="6"/>
      <c r="V25" s="332" t="s">
        <v>66</v>
      </c>
      <c r="W25" s="484" t="b">
        <f>IF(Calc!C4="",FALSE(),TRUE())</f>
        <v>0</v>
      </c>
      <c r="X25" s="484" t="b">
        <f>IF(Calc!D4="",FALSE(),TRUE())</f>
        <v>0</v>
      </c>
      <c r="Y25" s="484" t="b">
        <f>IF(Calc!E4="",FALSE(),TRUE())</f>
        <v>0</v>
      </c>
      <c r="Z25" s="484" t="b">
        <f>IF(Calc!F4="",FALSE(),TRUE())</f>
        <v>0</v>
      </c>
      <c r="AA25" s="484" t="b">
        <f>IF(Calc!G4="",FALSE(),TRUE())</f>
        <v>0</v>
      </c>
      <c r="AB25" s="486" t="b">
        <f>IF(Calc!H4="",FALSE(),TRUE())</f>
        <v>0</v>
      </c>
      <c r="AC25" s="4"/>
    </row>
    <row r="26" spans="1:39" x14ac:dyDescent="0.2">
      <c r="N26" s="254"/>
      <c r="O26" s="274" t="b">
        <f>IF(Calc!C14="",FALSE(),TRUE())</f>
        <v>0</v>
      </c>
      <c r="P26" s="274" t="b">
        <f>IF(Calc!D14="",FALSE(),TRUE())</f>
        <v>0</v>
      </c>
      <c r="Q26" s="274" t="b">
        <f>IF(Calc!E14="",FALSE(),TRUE())</f>
        <v>0</v>
      </c>
      <c r="R26" s="374" t="b">
        <f>IF(Calc!F14="",FALSE(),TRUE())</f>
        <v>0</v>
      </c>
      <c r="S26" s="274" t="b">
        <f>IF(Calc!G14="",FALSE(),TRUE())</f>
        <v>0</v>
      </c>
      <c r="T26" s="374" t="b">
        <f>IF(Calc!H14="",FALSE(),TRUE())</f>
        <v>0</v>
      </c>
      <c r="U26" s="6"/>
      <c r="V26" s="375"/>
      <c r="W26" s="485" t="b">
        <f>IF(Calc!C5="",FALSE(),TRUE())</f>
        <v>0</v>
      </c>
      <c r="X26" s="485" t="b">
        <f>IF(Calc!D5="",FALSE(),TRUE())</f>
        <v>0</v>
      </c>
      <c r="Y26" s="485" t="b">
        <f>IF(Calc!E5="",FALSE(),TRUE())</f>
        <v>0</v>
      </c>
      <c r="Z26" s="485" t="b">
        <f>IF(Calc!F5="",FALSE(),TRUE())</f>
        <v>0</v>
      </c>
      <c r="AA26" s="485" t="b">
        <f>IF(Calc!G5="",FALSE(),TRUE())</f>
        <v>0</v>
      </c>
      <c r="AB26" s="487" t="b">
        <f>IF(Calc!H5="",FALSE(),TRUE())</f>
        <v>0</v>
      </c>
      <c r="AC26" s="4"/>
    </row>
    <row r="27" spans="1:39" x14ac:dyDescent="0.2">
      <c r="N27" s="254"/>
      <c r="O27" s="274" t="b">
        <f>IF(Calc!C15="",FALSE(),TRUE())</f>
        <v>0</v>
      </c>
      <c r="P27" s="274" t="b">
        <f>IF(Calc!D15="",FALSE(),TRUE())</f>
        <v>0</v>
      </c>
      <c r="Q27" s="274" t="b">
        <f>IF(Calc!E15="",FALSE(),TRUE())</f>
        <v>0</v>
      </c>
      <c r="R27" s="374" t="b">
        <f>IF(Calc!F15="",FALSE(),TRUE())</f>
        <v>0</v>
      </c>
      <c r="S27" s="274" t="b">
        <f>IF(Calc!G15="",FALSE(),TRUE())</f>
        <v>0</v>
      </c>
      <c r="T27" s="374" t="b">
        <f>IF(Calc!H15="",FALSE(),TRUE())</f>
        <v>0</v>
      </c>
      <c r="U27" s="6"/>
      <c r="V27" s="375"/>
      <c r="W27" s="485" t="b">
        <f>IF(Calc!C6="",FALSE(),TRUE())</f>
        <v>0</v>
      </c>
      <c r="X27" s="485" t="b">
        <f>IF(Calc!D6="",FALSE(),TRUE())</f>
        <v>0</v>
      </c>
      <c r="Y27" s="485" t="b">
        <f>IF(Calc!E6="",FALSE(),TRUE())</f>
        <v>0</v>
      </c>
      <c r="Z27" s="485" t="b">
        <f>IF(Calc!F6="",FALSE(),TRUE())</f>
        <v>0</v>
      </c>
      <c r="AA27" s="485" t="b">
        <f>IF(Calc!G6="",FALSE(),TRUE())</f>
        <v>0</v>
      </c>
      <c r="AB27" s="487" t="b">
        <f>IF(Calc!H6="",FALSE(),TRUE())</f>
        <v>0</v>
      </c>
      <c r="AC27" s="4"/>
    </row>
    <row r="28" spans="1:39" x14ac:dyDescent="0.2">
      <c r="N28" s="254"/>
      <c r="O28" s="274" t="b">
        <f>IF(Calc!C16="",FALSE(),TRUE())</f>
        <v>0</v>
      </c>
      <c r="P28" s="274" t="b">
        <f>IF(Calc!D16="",FALSE(),TRUE())</f>
        <v>0</v>
      </c>
      <c r="Q28" s="274" t="b">
        <f>IF(Calc!E16="",FALSE(),TRUE())</f>
        <v>0</v>
      </c>
      <c r="R28" s="374" t="b">
        <f>IF(Calc!F16="",FALSE(),TRUE())</f>
        <v>0</v>
      </c>
      <c r="S28" s="274" t="b">
        <f>IF(Calc!G16="",FALSE(),TRUE())</f>
        <v>0</v>
      </c>
      <c r="T28" s="374" t="b">
        <f>IF(Calc!H16="",FALSE(),TRUE())</f>
        <v>0</v>
      </c>
      <c r="U28" s="6"/>
      <c r="V28" s="375"/>
      <c r="W28" s="485" t="b">
        <f>IF(Calc!C7="",FALSE(),TRUE())</f>
        <v>0</v>
      </c>
      <c r="X28" s="485" t="b">
        <f>IF(Calc!D7="",FALSE(),TRUE())</f>
        <v>0</v>
      </c>
      <c r="Y28" s="485" t="b">
        <f>IF(Calc!E7="",FALSE(),TRUE())</f>
        <v>0</v>
      </c>
      <c r="Z28" s="485" t="b">
        <f>IF(Calc!F7="",FALSE(),TRUE())</f>
        <v>0</v>
      </c>
      <c r="AA28" s="485" t="b">
        <f>IF(Calc!G7="",FALSE(),TRUE())</f>
        <v>0</v>
      </c>
      <c r="AB28" s="487" t="b">
        <f>IF(Calc!H7="",FALSE(),TRUE())</f>
        <v>0</v>
      </c>
      <c r="AC28" s="4"/>
    </row>
    <row r="29" spans="1:39" x14ac:dyDescent="0.2">
      <c r="N29" s="254"/>
      <c r="O29" s="274" t="b">
        <f>IF(Calc!C17="",FALSE(),TRUE())</f>
        <v>0</v>
      </c>
      <c r="P29" s="274" t="b">
        <f>IF(Calc!D17="",FALSE(),TRUE())</f>
        <v>0</v>
      </c>
      <c r="Q29" s="274" t="b">
        <f>IF(Calc!E17="",FALSE(),TRUE())</f>
        <v>0</v>
      </c>
      <c r="R29" s="374" t="b">
        <f>IF(Calc!F17="",FALSE(),TRUE())</f>
        <v>0</v>
      </c>
      <c r="S29" s="274" t="b">
        <f>IF(Calc!G17="",FALSE(),TRUE())</f>
        <v>0</v>
      </c>
      <c r="T29" s="374" t="b">
        <f>IF(Calc!H17="",FALSE(),TRUE())</f>
        <v>0</v>
      </c>
      <c r="U29" s="6"/>
      <c r="V29" s="375"/>
      <c r="W29" s="485" t="b">
        <f>IF(Calc!C8="",FALSE(),TRUE())</f>
        <v>0</v>
      </c>
      <c r="X29" s="485" t="b">
        <f>IF(Calc!D8="",FALSE(),TRUE())</f>
        <v>0</v>
      </c>
      <c r="Y29" s="485" t="b">
        <f>IF(Calc!E8="",FALSE(),TRUE())</f>
        <v>0</v>
      </c>
      <c r="Z29" s="485" t="b">
        <f>IF(Calc!F8="",FALSE(),TRUE())</f>
        <v>0</v>
      </c>
      <c r="AA29" s="485" t="b">
        <f>IF(Calc!G8="",FALSE(),TRUE())</f>
        <v>0</v>
      </c>
      <c r="AB29" s="487" t="b">
        <f>IF(Calc!H8="",FALSE(),TRUE())</f>
        <v>0</v>
      </c>
      <c r="AC29" s="4"/>
    </row>
    <row r="30" spans="1:39" x14ac:dyDescent="0.2">
      <c r="N30" s="255"/>
      <c r="O30" s="275" t="b">
        <f>IF(Calc!C18="",FALSE(),TRUE())</f>
        <v>0</v>
      </c>
      <c r="P30" s="275" t="b">
        <f>IF(Calc!D18="",FALSE(),TRUE())</f>
        <v>0</v>
      </c>
      <c r="Q30" s="275" t="b">
        <f>IF(Calc!E18="",FALSE(),TRUE())</f>
        <v>0</v>
      </c>
      <c r="R30" s="372" t="b">
        <f>IF(Calc!F18="",FALSE(),TRUE())</f>
        <v>0</v>
      </c>
      <c r="S30" s="275" t="b">
        <f>IF(Calc!G18="",FALSE(),TRUE())</f>
        <v>0</v>
      </c>
      <c r="T30" s="372" t="b">
        <f>IF(Calc!H18="",FALSE(),TRUE())</f>
        <v>0</v>
      </c>
      <c r="U30" s="6"/>
      <c r="V30" s="376"/>
      <c r="W30" s="377" t="b">
        <f>IF(Calc!C9="",FALSE(),TRUE())</f>
        <v>0</v>
      </c>
      <c r="X30" s="377" t="b">
        <f>IF(Calc!D9="",FALSE(),TRUE())</f>
        <v>0</v>
      </c>
      <c r="Y30" s="377" t="b">
        <f>IF(Calc!E9="",FALSE(),TRUE())</f>
        <v>0</v>
      </c>
      <c r="Z30" s="377" t="b">
        <f>IF(Calc!F9="",FALSE(),TRUE())</f>
        <v>0</v>
      </c>
      <c r="AA30" s="377" t="b">
        <f>IF(Calc!G9="",FALSE(),TRUE())</f>
        <v>0</v>
      </c>
      <c r="AB30" s="295" t="b">
        <f>IF(Calc!H9="",FALSE(),TRUE())</f>
        <v>0</v>
      </c>
      <c r="AC30" s="1"/>
    </row>
    <row r="31" spans="1:39" x14ac:dyDescent="0.2">
      <c r="N31" s="256" t="s">
        <v>66</v>
      </c>
      <c r="O31" s="372" t="b">
        <f t="shared" ref="O31:T31" si="0">OR(O25:O26)</f>
        <v>0</v>
      </c>
      <c r="P31" s="373" t="b">
        <f t="shared" si="0"/>
        <v>0</v>
      </c>
      <c r="Q31" s="372" t="b">
        <f t="shared" si="0"/>
        <v>0</v>
      </c>
      <c r="R31" s="373" t="b">
        <f t="shared" si="0"/>
        <v>0</v>
      </c>
      <c r="S31" s="372" t="b">
        <f t="shared" si="0"/>
        <v>0</v>
      </c>
      <c r="T31" s="276" t="b">
        <f t="shared" si="0"/>
        <v>0</v>
      </c>
      <c r="U31" s="6"/>
      <c r="V31" s="285" t="s">
        <v>78</v>
      </c>
      <c r="W31" s="377" t="b">
        <f t="shared" ref="W31:AB31" si="1">OR(W25:W26)</f>
        <v>0</v>
      </c>
      <c r="X31" s="378" t="b">
        <f t="shared" si="1"/>
        <v>0</v>
      </c>
      <c r="Y31" s="377" t="b">
        <f t="shared" si="1"/>
        <v>0</v>
      </c>
      <c r="Z31" s="378" t="b">
        <f t="shared" si="1"/>
        <v>0</v>
      </c>
      <c r="AA31" s="377" t="b">
        <f t="shared" si="1"/>
        <v>0</v>
      </c>
      <c r="AB31" s="295" t="b">
        <f t="shared" si="1"/>
        <v>0</v>
      </c>
      <c r="AC31" s="4"/>
    </row>
    <row r="32" spans="1:39" ht="13.5" thickBot="1" x14ac:dyDescent="0.25">
      <c r="N32" s="257" t="s">
        <v>80</v>
      </c>
      <c r="O32" s="277" t="b">
        <f t="shared" ref="O32:T32" si="2">AND(O24,O31)</f>
        <v>0</v>
      </c>
      <c r="P32" s="278" t="b">
        <f t="shared" si="2"/>
        <v>0</v>
      </c>
      <c r="Q32" s="277" t="b">
        <f t="shared" si="2"/>
        <v>0</v>
      </c>
      <c r="R32" s="278" t="b">
        <f t="shared" si="2"/>
        <v>0</v>
      </c>
      <c r="S32" s="277" t="b">
        <f t="shared" si="2"/>
        <v>0</v>
      </c>
      <c r="T32" s="273" t="b">
        <f t="shared" si="2"/>
        <v>0</v>
      </c>
      <c r="U32" s="6"/>
      <c r="V32" s="286" t="s">
        <v>81</v>
      </c>
      <c r="W32" s="296" t="b">
        <f t="shared" ref="W32:AB32" si="3">AND(W24,W31)</f>
        <v>0</v>
      </c>
      <c r="X32" s="297" t="b">
        <f t="shared" si="3"/>
        <v>0</v>
      </c>
      <c r="Y32" s="296" t="b">
        <f t="shared" si="3"/>
        <v>0</v>
      </c>
      <c r="Z32" s="297" t="b">
        <f t="shared" si="3"/>
        <v>0</v>
      </c>
      <c r="AA32" s="296" t="b">
        <f t="shared" si="3"/>
        <v>0</v>
      </c>
      <c r="AB32" s="298" t="b">
        <f t="shared" si="3"/>
        <v>0</v>
      </c>
      <c r="AC32" s="4"/>
    </row>
    <row r="33" spans="14:29" x14ac:dyDescent="0.2">
      <c r="N33" s="258" t="s">
        <v>96</v>
      </c>
      <c r="O33" s="279" t="str">
        <f>IF(O32,Calc!C13*Calc!C13+Calc!C14*Calc!C14+Calc!C15*Calc!C15+Calc!C16*Calc!C16+Calc!C17*Calc!C17+Calc!C18*Calc!C18,"")</f>
        <v/>
      </c>
      <c r="P33" s="279" t="str">
        <f>IF(P32,Calc!D13*Calc!D13+Calc!D14*Calc!D14+Calc!D15*Calc!D15+Calc!D16*Calc!D16+Calc!D17*Calc!D17+Calc!D18*Calc!D18,"")</f>
        <v/>
      </c>
      <c r="Q33" s="279" t="str">
        <f>IF(Q32,Calc!E13*Calc!E13+Calc!E14*Calc!E14+Calc!E15*Calc!E15+Calc!E16*Calc!E16+Calc!E17*Calc!E17+Calc!E18*Calc!E18,"")</f>
        <v/>
      </c>
      <c r="R33" s="279" t="str">
        <f>IF(R32,Calc!F13*Calc!F13+Calc!F14*Calc!F14+Calc!F15*Calc!F15+Calc!F16*Calc!F16+Calc!F17*Calc!F17+Calc!F18*Calc!F18,"")</f>
        <v/>
      </c>
      <c r="S33" s="279" t="str">
        <f>IF(S32,Calc!G13*Calc!G13+Calc!G14*Calc!G14+Calc!G15*Calc!G15+Calc!G16*Calc!G16+Calc!G17*Calc!G17+Calc!G18*Calc!G18,"")</f>
        <v/>
      </c>
      <c r="T33" s="280" t="str">
        <f>IF(T32,Calc!H13*Calc!H13+Calc!H14*Calc!H14+Calc!H15*Calc!H15+Calc!H16*Calc!H16+Calc!H17*Calc!H17+Calc!H18*Calc!H18,"")</f>
        <v/>
      </c>
      <c r="U33" s="6"/>
      <c r="V33" s="287" t="s">
        <v>96</v>
      </c>
      <c r="W33" s="299" t="str">
        <f>IF(W32,Calc!C4^2+C5^2+C6^2+Calc!C7^2+Calc!C8^2+Calc!C9^2,"")</f>
        <v/>
      </c>
      <c r="X33" s="299" t="str">
        <f>IF(X32,Calc!D4^2+D5^2+D6^2+Calc!D7^2+Calc!D8^2+Calc!D9^2,"")</f>
        <v/>
      </c>
      <c r="Y33" s="299" t="str">
        <f>IF(Y32,Calc!E4^2+E5^2+E6^2+Calc!E7^2+Calc!E8^2+Calc!E9^2,"")</f>
        <v/>
      </c>
      <c r="Z33" s="299" t="str">
        <f>IF(Z32,Calc!F4^2+F5^2+F6^2+Calc!F7^2+Calc!F8^2+Calc!F9^2,"")</f>
        <v/>
      </c>
      <c r="AA33" s="299" t="str">
        <f>IF(AA32,Calc!G4^2+G5^2+G6^2+Calc!G7^2+Calc!G8^2+Calc!G9^2,"")</f>
        <v/>
      </c>
      <c r="AB33" s="300" t="str">
        <f>IF(AB32,Calc!H4^2+Calc!H5^2+Calc!H6^2+Calc!H7^2+Calc!H8^2+Calc!H9^2,"")</f>
        <v/>
      </c>
      <c r="AC33" s="4"/>
    </row>
    <row r="34" spans="14:29" ht="13.5" thickBot="1" x14ac:dyDescent="0.25">
      <c r="N34" s="259" t="s">
        <v>97</v>
      </c>
      <c r="O34" s="281" t="str">
        <f>IF(O32,SUM(Calc!C13:C18)*SUM(Calc!C13:C18)/COUNT(Calc!C13:C18),"")</f>
        <v/>
      </c>
      <c r="P34" s="281" t="str">
        <f>IF(P32,SUM(Calc!D13:D18)*SUM(Calc!D13:D18)/COUNT(Calc!D13:D18),"")</f>
        <v/>
      </c>
      <c r="Q34" s="281" t="str">
        <f>IF(Q32,SUM(Calc!E13:E18)*SUM(Calc!E13:E18)/COUNT(Calc!E13:E18),"")</f>
        <v/>
      </c>
      <c r="R34" s="281" t="str">
        <f>IF(R32,SUM(Calc!F13:F18)*SUM(Calc!F13:F18)/COUNT(Calc!F13:F18),"")</f>
        <v/>
      </c>
      <c r="S34" s="281" t="str">
        <f>IF(S32,SUM(Calc!G13:G18)*SUM(Calc!G13:G18)/COUNT(Calc!G13:G18),"")</f>
        <v/>
      </c>
      <c r="T34" s="282" t="str">
        <f>IF(T32,SUM(Calc!H13:H18)*SUM(Calc!H13:H18)/COUNT(Calc!H13:H18),"")</f>
        <v/>
      </c>
      <c r="U34" s="6"/>
      <c r="V34" s="286" t="s">
        <v>97</v>
      </c>
      <c r="W34" s="301" t="str">
        <f>IF(W32,SUM(Calc!C4:C9)^2/COUNT(Calc!C4:C9),"")</f>
        <v/>
      </c>
      <c r="X34" s="301" t="str">
        <f>IF(X32,SUM(Calc!D4:D9)^2/COUNT(Calc!D4:D9),"")</f>
        <v/>
      </c>
      <c r="Y34" s="301" t="str">
        <f>IF(Y32,SUM(Calc!E4:E9)^2/COUNT(Calc!E4:E9),"")</f>
        <v/>
      </c>
      <c r="Z34" s="301" t="str">
        <f>IF(Z32,SUM(Calc!F4:F9)^2/COUNT(Calc!F4:F9),"")</f>
        <v/>
      </c>
      <c r="AA34" s="301" t="str">
        <f>IF(AA32,SUM(Calc!G4:G9)^2/COUNT(Calc!G4:G9),"")</f>
        <v/>
      </c>
      <c r="AB34" s="302" t="str">
        <f>IF(AB32,SUM(Calc!H4:H9)^2/COUNT(Calc!H4:H9),"")</f>
        <v/>
      </c>
      <c r="AC34" s="4"/>
    </row>
    <row r="35" spans="14:29" ht="13.5" thickBot="1" x14ac:dyDescent="0.25">
      <c r="N35" s="260"/>
      <c r="O35" s="55"/>
      <c r="P35" s="55"/>
      <c r="Q35" s="55"/>
      <c r="R35" s="7"/>
      <c r="S35" s="7"/>
      <c r="T35" s="7"/>
      <c r="U35" s="6"/>
      <c r="V35" s="375"/>
      <c r="W35" s="488"/>
      <c r="X35" s="488"/>
      <c r="Y35" s="488"/>
      <c r="Z35" s="488"/>
      <c r="AA35" s="488"/>
      <c r="AB35" s="388"/>
    </row>
    <row r="36" spans="14:29" x14ac:dyDescent="0.2">
      <c r="N36" s="261" t="s">
        <v>65</v>
      </c>
      <c r="O36" s="265" t="s">
        <v>91</v>
      </c>
      <c r="P36" s="266">
        <f>IF(O32,COUNT(Calc!C12),)+IF(P32,COUNT(Calc!D12),)+IF(Q32,COUNT(Calc!E12),)+IF(R32,COUNT(Calc!F12),)+IF(S32,COUNT(Calc!G12),)+IF(T32,COUNT(Calc!H12),)</f>
        <v>0</v>
      </c>
      <c r="Q36" s="7"/>
      <c r="U36" s="6"/>
      <c r="V36" s="338" t="s">
        <v>109</v>
      </c>
      <c r="W36" s="339"/>
      <c r="X36" s="339"/>
      <c r="Y36" s="339"/>
      <c r="Z36" s="340"/>
      <c r="AA36" s="284" t="s">
        <v>90</v>
      </c>
      <c r="AB36" s="303">
        <f>IF(W32,COUNT(Calc!C3),)+IF(X32,COUNT(Calc!D3),)+IF(Y32,COUNT(Calc!E3),)+IF(Z32,COUNT(Calc!F3),)+IF(AA32,COUNT(Calc!G3),)+IF(AB32,COUNT(Calc!H3),)</f>
        <v>0</v>
      </c>
    </row>
    <row r="37" spans="14:29" ht="13.5" thickBot="1" x14ac:dyDescent="0.25">
      <c r="N37" s="262" t="s">
        <v>9</v>
      </c>
      <c r="O37" s="264" t="s">
        <v>29</v>
      </c>
      <c r="P37" s="267">
        <f>IF(O32,COUNT(Calc!C13:C18),)+IF(P32,COUNT(Calc!D13:D18),)+IF(Q32,COUNT(Calc!E13:E18),)+IF(R32,COUNT(Calc!F13:F18),)+IF(S32,COUNT(Calc!G13:G18),)+IF(T32,COUNT(Calc!H13:H18),)</f>
        <v>0</v>
      </c>
      <c r="Q37" s="7"/>
      <c r="R37" s="84"/>
      <c r="S37" s="7"/>
      <c r="T37" s="55"/>
      <c r="U37" s="6"/>
      <c r="V37" s="341" t="s">
        <v>8</v>
      </c>
      <c r="W37" s="342"/>
      <c r="X37" s="342"/>
      <c r="Y37" s="342"/>
      <c r="Z37" s="343"/>
      <c r="AA37" s="288" t="s">
        <v>31</v>
      </c>
      <c r="AB37" s="304">
        <f>IF(W32,COUNT(Calc!C4:C9),)+IF(X32,COUNT(Calc!D4:D9),)+IF(Y32,COUNT(Calc!E4:E9),)+IF(Z32,COUNT(Calc!F4:F9),)+IF(AA32,COUNT(Calc!G4:G9),)+IF(AB32,COUNT(Calc!H4:H9),)</f>
        <v>0</v>
      </c>
    </row>
    <row r="38" spans="14:29" x14ac:dyDescent="0.2">
      <c r="N38" s="263" t="s">
        <v>10</v>
      </c>
      <c r="O38" s="264" t="s">
        <v>28</v>
      </c>
      <c r="P38" s="268">
        <f>NS+NTa+NB</f>
        <v>0</v>
      </c>
      <c r="Q38" s="7"/>
      <c r="R38" s="492" t="s">
        <v>31</v>
      </c>
      <c r="S38" s="493" t="s">
        <v>134</v>
      </c>
      <c r="T38" s="494" t="s">
        <v>32</v>
      </c>
      <c r="U38" s="6"/>
      <c r="V38" s="341" t="s">
        <v>6</v>
      </c>
      <c r="W38" s="342"/>
      <c r="X38" s="342"/>
      <c r="Y38" s="342"/>
      <c r="Z38" s="343"/>
      <c r="AA38" s="288" t="s">
        <v>35</v>
      </c>
      <c r="AB38" s="305">
        <f>COUNT(Calc!C4:C9)*Calc!C3+COUNT(Calc!D4:D9)*Calc!D3+COUNT(Calc!E4:E9)*Calc!E3+COUNT(Calc!F4:F9)*Calc!F3+COUNT(Calc!G4:G9)*Calc!G3+COUNT(Calc!H4:H9)*Calc!H3</f>
        <v>0</v>
      </c>
    </row>
    <row r="39" spans="14:29" ht="13.5" thickBot="1" x14ac:dyDescent="0.25">
      <c r="N39" s="263" t="s">
        <v>0</v>
      </c>
      <c r="O39" s="264" t="s">
        <v>33</v>
      </c>
      <c r="P39" s="268">
        <f>COUNT(Calc!C13:C18)*Calc!C12+COUNT(Calc!D13:D18)*Calc!D12+COUNT(Calc!E13:E18)*Calc!E12+COUNT(Calc!F13:F18)*Calc!F12+COUNT(Calc!G13:G18)*Calc!G12+COUNT(Calc!H13:H18)*Calc!H12</f>
        <v>0</v>
      </c>
      <c r="Q39" s="7"/>
      <c r="R39" s="489">
        <f>NS</f>
        <v>0</v>
      </c>
      <c r="S39" s="490">
        <f>NTa</f>
        <v>0</v>
      </c>
      <c r="T39" s="491">
        <f>NB</f>
        <v>0</v>
      </c>
      <c r="U39" s="6"/>
      <c r="V39" s="344" t="s">
        <v>1</v>
      </c>
      <c r="W39" s="345"/>
      <c r="X39" s="345"/>
      <c r="Y39" s="345"/>
      <c r="Z39" s="346"/>
      <c r="AA39" s="289" t="s">
        <v>36</v>
      </c>
      <c r="AB39" s="306">
        <f>IF(W32,SUM(Calc!C4:C9),)+IF(X32,SUM(Calc!D4:D9),)+IF(Y32,SUM(Calc!E4:E9),)+IF(Z32,SUM(Calc!F4:F9),)+IF(AA32,SUM(Calc!G4:G9),)+IF(AB32,SUM(Calc!H4:H9),)</f>
        <v>0</v>
      </c>
    </row>
    <row r="40" spans="14:29" x14ac:dyDescent="0.2">
      <c r="N40" s="263" t="s">
        <v>2</v>
      </c>
      <c r="O40" s="264" t="s">
        <v>34</v>
      </c>
      <c r="P40" s="269">
        <f>IF(O32,SUM(Calc!C13:C18),)+IF(P32,SUM(Calc!D13:D18),)+IF(Q32,SUM(Calc!E13:E18),)+IF(R32,SUM(Calc!F13:F18),)+IF(S32,SUM(Calc!G13:G18),)+IF(T32,SUM(Calc!H13:H18))</f>
        <v>0</v>
      </c>
      <c r="Q40" s="7"/>
      <c r="R40" s="7"/>
      <c r="S40" s="7"/>
      <c r="T40" s="7"/>
      <c r="U40" s="6"/>
      <c r="V40" s="332" t="s">
        <v>76</v>
      </c>
      <c r="W40" s="333"/>
      <c r="X40" s="333"/>
      <c r="Y40" s="333"/>
      <c r="Z40" s="334"/>
      <c r="AA40" s="290"/>
      <c r="AB40" s="307" t="e">
        <f>SumXS/NS</f>
        <v>#DIV/0!</v>
      </c>
    </row>
    <row r="41" spans="14:29" ht="13.5" thickBot="1" x14ac:dyDescent="0.25">
      <c r="N41" s="262" t="s">
        <v>7</v>
      </c>
      <c r="O41" s="264" t="s">
        <v>39</v>
      </c>
      <c r="P41" s="269">
        <f>SumYTa+SumYS+SumYB</f>
        <v>0</v>
      </c>
      <c r="Q41" s="7"/>
      <c r="R41" s="7"/>
      <c r="S41" s="7"/>
      <c r="T41" s="55"/>
      <c r="U41" s="6"/>
      <c r="V41" s="335" t="s">
        <v>74</v>
      </c>
      <c r="W41" s="336"/>
      <c r="X41" s="336"/>
      <c r="Y41" s="336"/>
      <c r="Z41" s="337"/>
      <c r="AA41" s="291"/>
      <c r="AB41" s="308" t="e">
        <f>SumYS/NS</f>
        <v>#DIV/0!</v>
      </c>
    </row>
    <row r="42" spans="14:29" x14ac:dyDescent="0.2">
      <c r="N42" s="12" t="s">
        <v>12</v>
      </c>
      <c r="O42" s="13" t="s">
        <v>40</v>
      </c>
      <c r="P42" s="14" t="e">
        <f>COUNT(Calc!C13:C18)*Calc!C12*Calc!C12+COUNT(Calc!D13:D18)*Calc!D12*Calc!D12+COUNT(Calc!E13:E18)*Calc!E12*Calc!E12+COUNT(Calc!F13:F18)*Calc!F12*Calc!F12+COUNT(Calc!G13:G18)*Calc!G12*Calc!G12+COUNT(Calc!H13:H18)*Calc!H12*Calc!H12-P39*P39/P38</f>
        <v>#DIV/0!</v>
      </c>
      <c r="Q42" s="7"/>
      <c r="R42" s="7"/>
      <c r="S42" s="7"/>
      <c r="T42" s="7"/>
      <c r="U42" s="6"/>
    </row>
    <row r="43" spans="14:29" x14ac:dyDescent="0.2">
      <c r="N43" s="15" t="s">
        <v>13</v>
      </c>
      <c r="O43" s="16" t="s">
        <v>41</v>
      </c>
      <c r="P43" s="17" t="e">
        <f>-SumXS*SumXTa/Ntota</f>
        <v>#DIV/0!</v>
      </c>
      <c r="Q43" s="7"/>
      <c r="R43" s="7"/>
      <c r="S43" s="7"/>
      <c r="T43" s="7"/>
      <c r="U43" s="6"/>
    </row>
    <row r="44" spans="14:29" ht="13.5" thickBot="1" x14ac:dyDescent="0.25">
      <c r="N44" s="15" t="s">
        <v>20</v>
      </c>
      <c r="O44" s="16" t="s">
        <v>42</v>
      </c>
      <c r="P44" s="17" t="e">
        <f>-SumXTa*SumXB/Ntota</f>
        <v>#DIV/0!</v>
      </c>
      <c r="Q44" s="7"/>
      <c r="R44" s="7"/>
      <c r="S44" s="7"/>
      <c r="T44" s="7"/>
      <c r="U44" s="6"/>
    </row>
    <row r="45" spans="14:29" ht="18.75" thickBot="1" x14ac:dyDescent="0.25">
      <c r="N45" s="19" t="s">
        <v>16</v>
      </c>
      <c r="O45" s="20" t="s">
        <v>46</v>
      </c>
      <c r="P45" s="17" t="e">
        <f>COUNT(Calc!$L$4:$L$9)*$X$46*$X$46-SumXB*SumXB/P38</f>
        <v>#DIV/0!</v>
      </c>
      <c r="Q45" s="7"/>
      <c r="R45" s="7"/>
      <c r="S45" s="7"/>
      <c r="T45" s="7"/>
      <c r="U45" s="6"/>
      <c r="V45" s="328" t="s">
        <v>108</v>
      </c>
      <c r="W45" s="391"/>
      <c r="X45" s="392"/>
    </row>
    <row r="46" spans="14:29" x14ac:dyDescent="0.2">
      <c r="N46" s="15" t="s">
        <v>15</v>
      </c>
      <c r="O46" s="21" t="s">
        <v>47</v>
      </c>
      <c r="P46" s="17" t="e">
        <f>-SumXS*SumXB/Ntota</f>
        <v>#DIV/0!</v>
      </c>
      <c r="Q46" s="7"/>
      <c r="R46" s="7"/>
      <c r="S46" s="7"/>
      <c r="T46" s="7"/>
      <c r="U46" s="6"/>
      <c r="V46" s="320" t="s">
        <v>93</v>
      </c>
      <c r="W46" s="331"/>
      <c r="X46" s="427">
        <v>1</v>
      </c>
    </row>
    <row r="47" spans="14:29" x14ac:dyDescent="0.2">
      <c r="N47" s="22" t="s">
        <v>11</v>
      </c>
      <c r="O47" s="23" t="s">
        <v>48</v>
      </c>
      <c r="P47" s="24" t="e">
        <f>(COUNT(Calc!$C$4:$C$9)*Calc!$C$3*Calc!$C$3+COUNT(Calc!$D$4:$D$9)*Calc!$D$3*Calc!$D$3+COUNT(Calc!$E$4:$E$9)*Calc!$E$3*Calc!$E$3+COUNT(Calc!$F$4:$F$9)*Calc!$F$3*Calc!$F$3+COUNT(Calc!$G$4:$G$9)*Calc!$G$3*Calc!$G$3+COUNT(Calc!$H$4:$H$9)*Calc!$H$3*Calc!$H$3)-SumXS*SumXS/P38</f>
        <v>#DIV/0!</v>
      </c>
      <c r="Q47" s="7"/>
      <c r="R47" s="7"/>
      <c r="S47" s="7"/>
      <c r="T47" s="7"/>
      <c r="U47" s="6"/>
      <c r="V47" s="329" t="s">
        <v>67</v>
      </c>
      <c r="W47" s="330"/>
      <c r="X47" s="241" t="b">
        <f>IF(X46,TRUE(),FALSE())</f>
        <v>1</v>
      </c>
    </row>
    <row r="48" spans="14:29" x14ac:dyDescent="0.2">
      <c r="N48" s="25" t="s">
        <v>21</v>
      </c>
      <c r="O48" s="13" t="s">
        <v>43</v>
      </c>
      <c r="P48" s="14" t="e">
        <f>SUM(Calc!C13:C18)*Calc!C12+SUM(Calc!D13:D18)*Calc!D12+SUM(Calc!E13:E18)*Calc!E12+SUM(Calc!F13:F18)*Calc!F12+SUM(Calc!G13:G18)*Calc!G12+SUM(Calc!H13:H18)*Calc!H12-SumXTa*SumYtota/Ntota</f>
        <v>#DIV/0!</v>
      </c>
      <c r="Q48" s="7"/>
      <c r="R48" s="7"/>
      <c r="S48" s="7"/>
      <c r="T48" s="7"/>
      <c r="U48" s="6"/>
      <c r="V48" s="324" t="s">
        <v>66</v>
      </c>
      <c r="W48" s="325"/>
      <c r="X48" s="242" t="b">
        <f>IF(Calc!L4="",FALSE(),TRUE())</f>
        <v>0</v>
      </c>
    </row>
    <row r="49" spans="14:24" x14ac:dyDescent="0.2">
      <c r="N49" s="19" t="s">
        <v>22</v>
      </c>
      <c r="O49" s="16" t="s">
        <v>44</v>
      </c>
      <c r="P49" s="17" t="e">
        <f>SUM(Calc!$C$4:$C$9)*Calc!$C$3+SUM(Calc!$D$4:$D$9)*Calc!$D$3+SUM(Calc!$E$4:$E$9)*Calc!$E$3+SUM(Calc!$F$4:$F$9)*Calc!$F$3+SUM(Calc!$G$4:$G$9)*Calc!$G$3+SUM(Calc!$H$4:$H$9)*Calc!$H$3-SumXS*SumYtota/Ntota</f>
        <v>#DIV/0!</v>
      </c>
      <c r="Q49" s="7"/>
      <c r="R49" s="7"/>
      <c r="S49" s="7"/>
      <c r="T49" s="7"/>
      <c r="U49" s="6"/>
      <c r="V49" s="231"/>
      <c r="W49" s="326"/>
      <c r="X49" s="242" t="b">
        <f>IF(Calc!L5="",FALSE(),TRUE())</f>
        <v>0</v>
      </c>
    </row>
    <row r="50" spans="14:24" x14ac:dyDescent="0.2">
      <c r="N50" s="26" t="s">
        <v>23</v>
      </c>
      <c r="O50" s="27" t="s">
        <v>45</v>
      </c>
      <c r="P50" s="28" t="e">
        <f>SUM(Calc!$L$4:$L$9)*X46-SumXB*SumYtota/Ntota</f>
        <v>#DIV/0!</v>
      </c>
      <c r="Q50" s="7"/>
      <c r="R50" s="29"/>
      <c r="S50" s="7"/>
      <c r="T50" s="7"/>
      <c r="U50" s="6"/>
      <c r="V50" s="231"/>
      <c r="W50" s="326"/>
      <c r="X50" s="242" t="b">
        <f>IF(Calc!L6="",FALSE(),TRUE())</f>
        <v>0</v>
      </c>
    </row>
    <row r="51" spans="14:24" x14ac:dyDescent="0.2">
      <c r="N51" s="25" t="s">
        <v>83</v>
      </c>
      <c r="O51" s="13" t="s">
        <v>49</v>
      </c>
      <c r="P51" s="14" t="e">
        <f>O69*P49+O70*P48+O71*P50</f>
        <v>#DIV/0!</v>
      </c>
      <c r="Q51" s="7"/>
      <c r="R51" s="7"/>
      <c r="S51" s="7"/>
      <c r="T51" s="7"/>
      <c r="U51" s="6"/>
      <c r="V51" s="231"/>
      <c r="W51" s="326"/>
      <c r="X51" s="242" t="b">
        <f>IF(Calc!L7="",FALSE(),TRUE())</f>
        <v>0</v>
      </c>
    </row>
    <row r="52" spans="14:24" x14ac:dyDescent="0.2">
      <c r="N52" s="19" t="s">
        <v>84</v>
      </c>
      <c r="O52" s="16" t="s">
        <v>30</v>
      </c>
      <c r="P52" s="17" t="e">
        <f>P69*P49+P70*P48+P71*P50</f>
        <v>#DIV/0!</v>
      </c>
      <c r="Q52" s="7"/>
      <c r="R52" s="7"/>
      <c r="S52" s="7"/>
      <c r="T52" s="7"/>
      <c r="U52" s="6"/>
      <c r="V52" s="231"/>
      <c r="W52" s="326"/>
      <c r="X52" s="242" t="b">
        <f>IF(Calc!L8="",FALSE(),TRUE())</f>
        <v>0</v>
      </c>
    </row>
    <row r="53" spans="14:24" x14ac:dyDescent="0.2">
      <c r="N53" s="19" t="s">
        <v>85</v>
      </c>
      <c r="O53" s="16" t="s">
        <v>50</v>
      </c>
      <c r="P53" s="17" t="e">
        <f>Q69*P49+Q70*P48+Q71*P50</f>
        <v>#DIV/0!</v>
      </c>
      <c r="Q53" s="7"/>
      <c r="R53" s="7"/>
      <c r="S53" s="7"/>
      <c r="T53" s="30"/>
      <c r="U53" s="6"/>
      <c r="V53" s="231"/>
      <c r="W53" s="326"/>
      <c r="X53" s="242" t="b">
        <f>IF(Calc!L9="",FALSE(),TRUE())</f>
        <v>0</v>
      </c>
    </row>
    <row r="54" spans="14:24" x14ac:dyDescent="0.2">
      <c r="N54" s="31" t="s">
        <v>82</v>
      </c>
      <c r="O54" s="32"/>
      <c r="P54" s="33" t="e">
        <f>($AB$41-P51*$AB$40+P58-P52*P57+$X$70-P53*$X$69)/3</f>
        <v>#DIV/0!</v>
      </c>
      <c r="Q54" s="7"/>
      <c r="R54" s="7"/>
      <c r="S54" s="7"/>
      <c r="T54" s="30"/>
      <c r="U54" s="6"/>
      <c r="V54" s="231"/>
      <c r="W54" s="326"/>
      <c r="X54" s="242"/>
    </row>
    <row r="55" spans="14:24" x14ac:dyDescent="0.2">
      <c r="N55" s="19" t="s">
        <v>99</v>
      </c>
      <c r="O55" s="34" t="s">
        <v>100</v>
      </c>
      <c r="P55" s="35" t="e">
        <f>R69*SumXSY+R70*SumXTaY</f>
        <v>#DIV/0!</v>
      </c>
      <c r="Q55" s="7"/>
      <c r="R55" s="7"/>
      <c r="S55" s="7"/>
      <c r="T55" s="30"/>
      <c r="U55" s="6"/>
      <c r="V55" s="231"/>
      <c r="W55" s="326"/>
      <c r="X55" s="242"/>
    </row>
    <row r="56" spans="14:24" x14ac:dyDescent="0.2">
      <c r="N56" s="19" t="s">
        <v>98</v>
      </c>
      <c r="O56" s="36" t="s">
        <v>101</v>
      </c>
      <c r="P56" s="35" t="e">
        <f>S69*SumXSY+S70*SumXTaY</f>
        <v>#DIV/0!</v>
      </c>
      <c r="Q56" s="7"/>
      <c r="R56" s="7"/>
      <c r="S56" s="7"/>
      <c r="T56" s="7"/>
      <c r="U56" s="6"/>
      <c r="V56" s="231"/>
      <c r="W56" s="326"/>
      <c r="X56" s="242"/>
    </row>
    <row r="57" spans="14:24" x14ac:dyDescent="0.2">
      <c r="N57" s="25" t="s">
        <v>86</v>
      </c>
      <c r="O57" s="37"/>
      <c r="P57" s="38" t="e">
        <f>SumXTa/NTa</f>
        <v>#DIV/0!</v>
      </c>
      <c r="Q57" s="7"/>
      <c r="R57" s="8"/>
      <c r="S57" s="8"/>
      <c r="T57" s="7"/>
      <c r="U57" s="6"/>
      <c r="V57" s="231"/>
      <c r="W57" s="326"/>
      <c r="X57" s="242"/>
    </row>
    <row r="58" spans="14:24" x14ac:dyDescent="0.2">
      <c r="N58" s="19" t="s">
        <v>87</v>
      </c>
      <c r="O58" s="39"/>
      <c r="P58" s="40" t="e">
        <f>SumYTa/NTa</f>
        <v>#DIV/0!</v>
      </c>
      <c r="Q58" s="7"/>
      <c r="R58" s="7"/>
      <c r="S58" s="7"/>
      <c r="T58" s="7"/>
      <c r="U58" s="6"/>
      <c r="V58" s="231"/>
      <c r="W58" s="326"/>
      <c r="X58" s="242"/>
    </row>
    <row r="59" spans="14:24" x14ac:dyDescent="0.2">
      <c r="N59" s="41" t="s">
        <v>95</v>
      </c>
      <c r="O59" s="37" t="s">
        <v>94</v>
      </c>
      <c r="P59" s="42" t="e">
        <f>SlopeTa/SlopeS</f>
        <v>#DIV/0!</v>
      </c>
      <c r="Q59" s="7"/>
      <c r="R59" s="43"/>
      <c r="S59" s="7"/>
      <c r="T59" s="7"/>
      <c r="U59" s="6"/>
      <c r="V59" s="232"/>
      <c r="W59" s="327"/>
      <c r="X59" s="242"/>
    </row>
    <row r="60" spans="14:24" x14ac:dyDescent="0.2">
      <c r="N60" s="44"/>
      <c r="O60" s="34" t="s">
        <v>105</v>
      </c>
      <c r="P60" s="45" t="e">
        <f>(P59-P63*P69/O69+P62*SQRT(R81)/ABS(SlopeS)*(P70-2*P59*P69+P59*P59*O69-P63*(P70-P69*P69/O69))^0.5)/(1-P63)</f>
        <v>#DIV/0!</v>
      </c>
      <c r="Q60" s="7"/>
      <c r="R60" s="43"/>
      <c r="S60" s="7"/>
      <c r="T60" s="7"/>
      <c r="U60" s="6"/>
      <c r="V60" s="329" t="s">
        <v>79</v>
      </c>
      <c r="W60" s="330"/>
      <c r="X60" s="243" t="b">
        <f>OR(X48:X59)</f>
        <v>0</v>
      </c>
    </row>
    <row r="61" spans="14:24" x14ac:dyDescent="0.2">
      <c r="N61" s="44"/>
      <c r="O61" s="34" t="s">
        <v>106</v>
      </c>
      <c r="P61" s="45" t="e">
        <f>(P59-P63*P69/O69-P62*SQRT(R81)/ABS(SlopeS)*(P70-2*P59*P69+P59*P59*O69-P63*(P70-P69*P69/O69))^0.5)/(1-P63)</f>
        <v>#DIV/0!</v>
      </c>
      <c r="Q61" s="7"/>
      <c r="R61" s="43"/>
      <c r="S61" s="7"/>
      <c r="T61" s="7"/>
      <c r="U61" s="6"/>
      <c r="V61" s="329" t="s">
        <v>80</v>
      </c>
      <c r="W61" s="330"/>
      <c r="X61" s="243" t="b">
        <f>AND(X47,X60)</f>
        <v>0</v>
      </c>
    </row>
    <row r="62" spans="14:24" x14ac:dyDescent="0.2">
      <c r="N62" s="46"/>
      <c r="O62" s="47" t="s">
        <v>107</v>
      </c>
      <c r="P62" s="48" t="e">
        <f>TINV(0.05,O81)</f>
        <v>#NUM!</v>
      </c>
      <c r="Q62" s="7"/>
      <c r="R62" s="7"/>
      <c r="S62" s="7"/>
      <c r="T62" s="7"/>
      <c r="U62" s="6"/>
      <c r="V62" s="320" t="s">
        <v>96</v>
      </c>
      <c r="W62" s="321"/>
      <c r="X62" s="244" t="str">
        <f>IF(X61,Calc!L4^2+L5^2+L6^2+Calc!L7^2+Calc!L8^2+Calc!L9^2+Calc!L10^2+Calc!L11^2+Calc!L12^2+Calc!L15^2+Calc!L16^2+Calc!L17^2+Calc!L18^2+Calc!L19^2,"")</f>
        <v/>
      </c>
    </row>
    <row r="63" spans="14:24" ht="13.5" thickBot="1" x14ac:dyDescent="0.25">
      <c r="N63" s="49"/>
      <c r="O63" s="50" t="s">
        <v>104</v>
      </c>
      <c r="P63" s="51" t="e">
        <f>P62*P62*R81*O69/(P51*P51)</f>
        <v>#NUM!</v>
      </c>
      <c r="Q63" s="7"/>
      <c r="R63" s="7"/>
      <c r="S63" s="7"/>
      <c r="T63" s="7"/>
      <c r="U63" s="6"/>
      <c r="V63" s="322" t="s">
        <v>97</v>
      </c>
      <c r="W63" s="323"/>
      <c r="X63" s="245" t="str">
        <f>IF(X61,SUM(Calc!L4:L9)^2/COUNT(Calc!L4:L9),"")</f>
        <v/>
      </c>
    </row>
    <row r="64" spans="14:24" ht="13.5" thickBot="1" x14ac:dyDescent="0.25">
      <c r="N64" s="52"/>
      <c r="O64" s="7"/>
      <c r="P64" s="53"/>
      <c r="Q64" s="7"/>
      <c r="R64" s="7"/>
      <c r="S64" s="7"/>
      <c r="T64" s="7"/>
      <c r="U64" s="6"/>
      <c r="V64" s="233"/>
      <c r="W64" s="233"/>
      <c r="X64" s="246"/>
    </row>
    <row r="65" spans="14:24" ht="13.5" thickBot="1" x14ac:dyDescent="0.25">
      <c r="N65" s="422"/>
      <c r="O65" s="423" t="s">
        <v>110</v>
      </c>
      <c r="P65" s="424"/>
      <c r="Q65" s="424"/>
      <c r="R65" s="423" t="s">
        <v>111</v>
      </c>
      <c r="S65" s="425"/>
      <c r="T65" s="7"/>
      <c r="U65" s="7"/>
      <c r="V65" s="234" t="s">
        <v>88</v>
      </c>
      <c r="W65" s="235" t="s">
        <v>89</v>
      </c>
      <c r="X65" s="247">
        <v>1</v>
      </c>
    </row>
    <row r="66" spans="14:24" x14ac:dyDescent="0.2">
      <c r="N66" s="402" t="s">
        <v>26</v>
      </c>
      <c r="O66" s="406" t="e">
        <f>P47</f>
        <v>#DIV/0!</v>
      </c>
      <c r="P66" s="407" t="e">
        <f>SumXSXTa</f>
        <v>#DIV/0!</v>
      </c>
      <c r="Q66" s="408" t="e">
        <f>P46</f>
        <v>#DIV/0!</v>
      </c>
      <c r="R66" s="415" t="e">
        <f>O66</f>
        <v>#DIV/0!</v>
      </c>
      <c r="S66" s="416" t="e">
        <f>P66</f>
        <v>#DIV/0!</v>
      </c>
      <c r="T66" s="54"/>
      <c r="U66" s="18"/>
      <c r="V66" s="231" t="s">
        <v>19</v>
      </c>
      <c r="W66" s="236" t="s">
        <v>32</v>
      </c>
      <c r="X66" s="248">
        <f>IF(X61,COUNT(Calc!L4:L19),)</f>
        <v>0</v>
      </c>
    </row>
    <row r="67" spans="14:24" x14ac:dyDescent="0.2">
      <c r="N67" s="402"/>
      <c r="O67" s="409" t="e">
        <f>SumXSXTa</f>
        <v>#DIV/0!</v>
      </c>
      <c r="P67" s="396" t="e">
        <f>SumXTaXTa</f>
        <v>#DIV/0!</v>
      </c>
      <c r="Q67" s="410" t="e">
        <f>SumXTaXB</f>
        <v>#DIV/0!</v>
      </c>
      <c r="R67" s="409" t="e">
        <f>O67</f>
        <v>#DIV/0!</v>
      </c>
      <c r="S67" s="395" t="e">
        <f>P67</f>
        <v>#DIV/0!</v>
      </c>
      <c r="T67" s="54"/>
      <c r="U67" s="18"/>
      <c r="V67" s="231" t="s">
        <v>17</v>
      </c>
      <c r="W67" s="236" t="s">
        <v>37</v>
      </c>
      <c r="X67" s="249">
        <f>IF(X61,SUM(Calc!L4:L9),)</f>
        <v>0</v>
      </c>
    </row>
    <row r="68" spans="14:24" x14ac:dyDescent="0.2">
      <c r="N68" s="403"/>
      <c r="O68" s="411" t="e">
        <f>SumXSXB</f>
        <v>#DIV/0!</v>
      </c>
      <c r="P68" s="397" t="e">
        <f>SumXTaXB</f>
        <v>#DIV/0!</v>
      </c>
      <c r="Q68" s="398" t="e">
        <f>SumXBXB</f>
        <v>#DIV/0!</v>
      </c>
      <c r="R68" s="411"/>
      <c r="S68" s="398"/>
      <c r="T68" s="54"/>
      <c r="U68" s="18"/>
      <c r="V68" s="232" t="s">
        <v>18</v>
      </c>
      <c r="W68" s="237" t="s">
        <v>38</v>
      </c>
      <c r="X68" s="249">
        <f>COUNT(Calc!L4:L9)*X46</f>
        <v>0</v>
      </c>
    </row>
    <row r="69" spans="14:24" x14ac:dyDescent="0.2">
      <c r="N69" s="404" t="s">
        <v>27</v>
      </c>
      <c r="O69" s="412" t="e">
        <f>(P67*Q68-Q67*P68)/MDETERM(O66:Q68)</f>
        <v>#DIV/0!</v>
      </c>
      <c r="P69" s="399" t="e">
        <f>-(O67*Q68-Q67*O68)/MDETERM(O66:Q68)</f>
        <v>#DIV/0!</v>
      </c>
      <c r="Q69" s="413" t="e">
        <f>(O67*P68-P67*O68)/MDETERM(O66:Q68)</f>
        <v>#DIV/0!</v>
      </c>
      <c r="R69" s="409" t="e">
        <f>S67/(R66*S67-S66*R67)</f>
        <v>#DIV/0!</v>
      </c>
      <c r="S69" s="395" t="e">
        <f>S66/(S66*R67-R66*S67)</f>
        <v>#DIV/0!</v>
      </c>
      <c r="T69" s="54"/>
      <c r="U69" s="18"/>
      <c r="V69" s="231" t="s">
        <v>77</v>
      </c>
      <c r="W69" s="238"/>
      <c r="X69" s="250" t="e">
        <f>SumXB/NB</f>
        <v>#DIV/0!</v>
      </c>
    </row>
    <row r="70" spans="14:24" ht="13.5" thickBot="1" x14ac:dyDescent="0.25">
      <c r="N70" s="402"/>
      <c r="O70" s="409" t="e">
        <f>-(P66*Q68-P68*Q66)/MDETERM(O66:Q68)</f>
        <v>#DIV/0!</v>
      </c>
      <c r="P70" s="396" t="e">
        <f>(O66*Q68-O68*Q66)/MDETERM(O66:Q68)</f>
        <v>#DIV/0!</v>
      </c>
      <c r="Q70" s="395" t="e">
        <f>-(O66*P68-P66*O68)/MDETERM(O66:Q68)</f>
        <v>#DIV/0!</v>
      </c>
      <c r="R70" s="409" t="e">
        <f>R67/(S66*R67-R66*S67)</f>
        <v>#DIV/0!</v>
      </c>
      <c r="S70" s="395" t="e">
        <f>R66/(R66*S67-S66*R67)</f>
        <v>#DIV/0!</v>
      </c>
      <c r="T70" s="54"/>
      <c r="U70" s="18"/>
      <c r="V70" s="239" t="s">
        <v>75</v>
      </c>
      <c r="W70" s="240"/>
      <c r="X70" s="251" t="e">
        <f>SumYB/NB</f>
        <v>#DIV/0!</v>
      </c>
    </row>
    <row r="71" spans="14:24" ht="13.5" thickBot="1" x14ac:dyDescent="0.25">
      <c r="N71" s="405"/>
      <c r="O71" s="414" t="e">
        <f>(P66*Q67-P67*Q66)/MDETERM(O66:Q68)</f>
        <v>#DIV/0!</v>
      </c>
      <c r="P71" s="400" t="e">
        <f>-(O66*Q67-O67*Q66)/MDETERM(O66:Q68)</f>
        <v>#DIV/0!</v>
      </c>
      <c r="Q71" s="401" t="e">
        <f>(O66*P67-P66*O67)/MDETERM(O66:Q68)</f>
        <v>#DIV/0!</v>
      </c>
      <c r="R71" s="414"/>
      <c r="S71" s="401"/>
      <c r="T71" s="54"/>
      <c r="U71" s="18"/>
    </row>
    <row r="72" spans="14:24" ht="13.5" thickBot="1" x14ac:dyDescent="0.25">
      <c r="N72" s="7"/>
      <c r="O72" s="7"/>
      <c r="P72" s="7"/>
      <c r="Q72" s="7"/>
      <c r="R72" s="7"/>
      <c r="S72" s="7"/>
      <c r="T72" s="7"/>
      <c r="U72" s="6"/>
    </row>
    <row r="73" spans="14:24" ht="13.5" thickBot="1" x14ac:dyDescent="0.25">
      <c r="N73" s="351" t="s">
        <v>64</v>
      </c>
      <c r="O73" s="352"/>
      <c r="P73" s="352"/>
      <c r="Q73" s="352"/>
      <c r="R73" s="352"/>
      <c r="S73" s="352"/>
      <c r="T73" s="353"/>
      <c r="U73" s="6"/>
    </row>
    <row r="74" spans="14:24" x14ac:dyDescent="0.2">
      <c r="N74" s="57" t="s">
        <v>52</v>
      </c>
      <c r="O74" s="347" t="s">
        <v>54</v>
      </c>
      <c r="P74" s="349" t="e">
        <f>(SumYtota)^2/Ntota</f>
        <v>#DIV/0!</v>
      </c>
      <c r="Q74" s="350"/>
      <c r="R74" s="58" t="s">
        <v>56</v>
      </c>
      <c r="S74" s="59"/>
      <c r="T74" s="60"/>
      <c r="U74" s="6"/>
    </row>
    <row r="75" spans="14:24" x14ac:dyDescent="0.2">
      <c r="N75" s="22" t="s">
        <v>53</v>
      </c>
      <c r="O75" s="348"/>
      <c r="P75" s="357" t="s">
        <v>55</v>
      </c>
      <c r="Q75" s="61"/>
      <c r="R75" s="62" t="s">
        <v>57</v>
      </c>
      <c r="S75" s="63" t="s">
        <v>102</v>
      </c>
      <c r="T75" s="64" t="s">
        <v>103</v>
      </c>
      <c r="U75" s="6"/>
    </row>
    <row r="76" spans="14:24" x14ac:dyDescent="0.2">
      <c r="N76" s="15" t="s">
        <v>51</v>
      </c>
      <c r="O76" s="65">
        <v>2</v>
      </c>
      <c r="P76" s="394" t="e">
        <f>P55*P49+P56*P48</f>
        <v>#DIV/0!</v>
      </c>
      <c r="Q76" s="356"/>
      <c r="R76" s="358"/>
      <c r="S76" s="66"/>
      <c r="T76" s="359"/>
      <c r="U76" s="67"/>
    </row>
    <row r="77" spans="14:24" x14ac:dyDescent="0.2">
      <c r="N77" s="15" t="s">
        <v>61</v>
      </c>
      <c r="O77" s="65">
        <f>NB-1</f>
        <v>-1</v>
      </c>
      <c r="P77" s="354" t="e">
        <f>(P49*P51+P48*P52+P50*P53)-P76</f>
        <v>#DIV/0!</v>
      </c>
      <c r="Q77" s="379" t="e">
        <f>SumXSY*SlopeS+SumXTaY*SlopeTa+SumXBY*SlopeB</f>
        <v>#DIV/0!</v>
      </c>
      <c r="R77" s="68" t="e">
        <f>IF(O77=0,0,P77/O77)</f>
        <v>#DIV/0!</v>
      </c>
      <c r="S77" s="71" t="e">
        <f>IF(R81=0,0,R77/R81)</f>
        <v>#DIV/0!</v>
      </c>
      <c r="T77" s="69" t="e">
        <f>IF(O77=0,"d.f. = 0",FINV(0.05,O77,O81))</f>
        <v>#NUM!</v>
      </c>
      <c r="U77" s="67"/>
    </row>
    <row r="78" spans="14:24" x14ac:dyDescent="0.2">
      <c r="N78" s="19" t="s">
        <v>63</v>
      </c>
      <c r="O78" s="65">
        <v>1</v>
      </c>
      <c r="P78" s="354">
        <f>(SUM(O33:T33)-SUM(O34:T34)+SUM($W$33:$AB$33)-SUM($W$34:$AB$34)+SUM($X$62:$X$62)-SUM($X$63:$X$63))/(Xs+P36+$X$65-2)</f>
        <v>0</v>
      </c>
      <c r="Q78" s="355"/>
      <c r="R78" s="70">
        <f>P78/O78</f>
        <v>0</v>
      </c>
      <c r="S78" s="71" t="e">
        <f>IF(R81=0,0,R78/R81)</f>
        <v>#DIV/0!</v>
      </c>
      <c r="T78" s="72" t="e">
        <f>FINV(0.05,O78,O81)</f>
        <v>#NUM!</v>
      </c>
      <c r="U78" s="67"/>
    </row>
    <row r="79" spans="14:24" x14ac:dyDescent="0.2">
      <c r="N79" s="22" t="s">
        <v>62</v>
      </c>
      <c r="O79" s="63">
        <f>Xs-1</f>
        <v>-1</v>
      </c>
      <c r="P79" s="362" t="e">
        <f>P80-P78-P77-P76</f>
        <v>#DIV/0!</v>
      </c>
      <c r="Q79" s="363"/>
      <c r="R79" s="70" t="e">
        <f>P79/O79</f>
        <v>#DIV/0!</v>
      </c>
      <c r="S79" s="61" t="e">
        <f>IF(R81=0,0,R79/R81)</f>
        <v>#DIV/0!</v>
      </c>
      <c r="T79" s="73" t="e">
        <f>FINV(0.05,O79,O81)</f>
        <v>#NUM!</v>
      </c>
      <c r="U79" s="74"/>
    </row>
    <row r="80" spans="14:24" x14ac:dyDescent="0.2">
      <c r="N80" s="19" t="s">
        <v>58</v>
      </c>
      <c r="O80" s="65">
        <f>SUM(O76:O79)</f>
        <v>1</v>
      </c>
      <c r="P80" s="394" t="e">
        <f>SUM(O34:T34)+SUM($X$63:$X$63)+SUM($W$34:$AB$34)-P74</f>
        <v>#DIV/0!</v>
      </c>
      <c r="Q80" s="370"/>
      <c r="R80" s="368"/>
      <c r="S80" s="369"/>
      <c r="T80" s="42"/>
      <c r="U80" s="67"/>
    </row>
    <row r="81" spans="14:24" x14ac:dyDescent="0.2">
      <c r="N81" s="22" t="s">
        <v>59</v>
      </c>
      <c r="O81" s="63">
        <f>O82-O80</f>
        <v>-2</v>
      </c>
      <c r="P81" s="357" t="e">
        <f>P82-P80</f>
        <v>#DIV/0!</v>
      </c>
      <c r="Q81" s="364"/>
      <c r="R81" s="380" t="e">
        <f>P81/O81</f>
        <v>#DIV/0!</v>
      </c>
      <c r="S81" s="371"/>
      <c r="T81" s="72"/>
      <c r="U81" s="67"/>
    </row>
    <row r="82" spans="14:24" ht="13.5" thickBot="1" x14ac:dyDescent="0.25">
      <c r="N82" s="56" t="s">
        <v>60</v>
      </c>
      <c r="O82" s="75">
        <f>Ntota-1</f>
        <v>-1</v>
      </c>
      <c r="P82" s="360" t="e">
        <f>(SUM($W$33:$AB$33)+SUM($X$62:$X$62)+SUM(O33:T33))-(P41^2)/P38</f>
        <v>#DIV/0!</v>
      </c>
      <c r="Q82" s="361"/>
      <c r="R82" s="365"/>
      <c r="S82" s="366"/>
      <c r="T82" s="367"/>
      <c r="U82" s="67"/>
    </row>
    <row r="83" spans="14:24" ht="13.5" thickBot="1" x14ac:dyDescent="0.25">
      <c r="N83" s="7"/>
      <c r="O83" s="7"/>
      <c r="P83" s="7"/>
      <c r="Q83" s="7"/>
      <c r="R83" s="7"/>
      <c r="S83" s="7"/>
      <c r="T83" s="7"/>
      <c r="U83" s="6"/>
    </row>
    <row r="84" spans="14:24" x14ac:dyDescent="0.2">
      <c r="N84" s="76" t="s">
        <v>140</v>
      </c>
      <c r="O84" s="77" t="s">
        <v>141</v>
      </c>
      <c r="P84" s="389" t="s">
        <v>69</v>
      </c>
      <c r="Q84" s="390" t="s">
        <v>70</v>
      </c>
      <c r="R84" s="389" t="s">
        <v>71</v>
      </c>
      <c r="S84" s="390" t="s">
        <v>72</v>
      </c>
      <c r="T84" s="58" t="s">
        <v>132</v>
      </c>
      <c r="U84" s="418" t="s">
        <v>133</v>
      </c>
      <c r="W84" s="383" t="s">
        <v>73</v>
      </c>
    </row>
    <row r="85" spans="14:24" x14ac:dyDescent="0.2">
      <c r="N85" s="420" t="s">
        <v>24</v>
      </c>
      <c r="O85" s="428">
        <v>0</v>
      </c>
      <c r="P85" s="429"/>
      <c r="Q85" s="430"/>
      <c r="R85" s="430"/>
      <c r="S85" s="430"/>
      <c r="T85" s="431"/>
      <c r="U85" s="432"/>
      <c r="W85" s="384" t="e">
        <f>O85*SlopeS+P54</f>
        <v>#DIV/0!</v>
      </c>
    </row>
    <row r="86" spans="14:24" x14ac:dyDescent="0.2">
      <c r="N86" s="420"/>
      <c r="O86" s="433" t="e">
        <f>IF($W$32,Calc!$C$3,NA())</f>
        <v>#N/A</v>
      </c>
      <c r="P86" s="434" t="e">
        <f>IF(AND($W$32,$W$25),Calc!$C$4,NA())</f>
        <v>#N/A</v>
      </c>
      <c r="Q86" s="434" t="e">
        <f>IF(AND($W$32,$W$26),Calc!$C$5,NA())</f>
        <v>#N/A</v>
      </c>
      <c r="R86" s="434" t="e">
        <f>IF(AND($W$32,$W$27),Calc!$C$6,NA())</f>
        <v>#N/A</v>
      </c>
      <c r="S86" s="434" t="e">
        <f>IF(AND($W$32,$W$28),Calc!$C$7,NA())</f>
        <v>#N/A</v>
      </c>
      <c r="T86" s="434" t="e">
        <f>IF(AND($W$32,$W$29),Calc!$C$8,NA())</f>
        <v>#N/A</v>
      </c>
      <c r="U86" s="435" t="e">
        <f>IF(AND($W$32,$W$30),Calc!$C$9,NA())</f>
        <v>#N/A</v>
      </c>
      <c r="W86" s="385" t="e">
        <f>O86*SlopeS+P54</f>
        <v>#N/A</v>
      </c>
    </row>
    <row r="87" spans="14:24" x14ac:dyDescent="0.2">
      <c r="N87" s="420"/>
      <c r="O87" s="433" t="e">
        <f>IF($X$32,Calc!$D$3,NA())</f>
        <v>#N/A</v>
      </c>
      <c r="P87" s="436" t="e">
        <f>IF(AND($X$32,$X$25),Calc!$D$4,NA())</f>
        <v>#N/A</v>
      </c>
      <c r="Q87" s="434" t="e">
        <f>IF(AND($X$32,$X$26),Calc!$D$5,NA())</f>
        <v>#N/A</v>
      </c>
      <c r="R87" s="434" t="e">
        <f>IF(AND($X$32,$X$27),Calc!$D$6,NA())</f>
        <v>#N/A</v>
      </c>
      <c r="S87" s="434" t="e">
        <f>IF(AND($X$32,$X$28),Calc!$D$7,NA())</f>
        <v>#N/A</v>
      </c>
      <c r="T87" s="434" t="e">
        <f>IF(AND($X$32,$X$29),Calc!$D$8,NA())</f>
        <v>#N/A</v>
      </c>
      <c r="U87" s="435" t="e">
        <f>IF(AND($X$32,$X$30),Calc!$D$9,NA())</f>
        <v>#N/A</v>
      </c>
      <c r="W87" s="385" t="e">
        <f>O87*SlopeS+P54</f>
        <v>#N/A</v>
      </c>
    </row>
    <row r="88" spans="14:24" x14ac:dyDescent="0.2">
      <c r="N88" s="420"/>
      <c r="O88" s="433" t="e">
        <f>IF($Y$32,Calc!$E$3,NA())</f>
        <v>#N/A</v>
      </c>
      <c r="P88" s="434" t="e">
        <f>IF(AND($Y$32,$Y$25),Calc!$E$4,NA())</f>
        <v>#N/A</v>
      </c>
      <c r="Q88" s="434" t="e">
        <f>IF(AND($Y$32,$Y$26),Calc!$E$5,NA())</f>
        <v>#N/A</v>
      </c>
      <c r="R88" s="434" t="e">
        <f>IF(AND($Y$32,$Y$27),Calc!$E$6,NA())</f>
        <v>#N/A</v>
      </c>
      <c r="S88" s="434" t="e">
        <f>IF(AND($Y$32,$Y$28),Calc!$E$7,NA())</f>
        <v>#N/A</v>
      </c>
      <c r="T88" s="434" t="e">
        <f>IF(AND($Y$32,$Y$29),Calc!$E$8,NA())</f>
        <v>#N/A</v>
      </c>
      <c r="U88" s="435" t="e">
        <f>IF(AND($Y$32,$Y$30),Calc!$E$9,NA())</f>
        <v>#N/A</v>
      </c>
      <c r="W88" s="385" t="e">
        <f>O88*SlopeS+P54</f>
        <v>#N/A</v>
      </c>
    </row>
    <row r="89" spans="14:24" x14ac:dyDescent="0.2">
      <c r="N89" s="420"/>
      <c r="O89" s="433" t="e">
        <f>IF($Z$32,Calc!$F$3,NA())</f>
        <v>#N/A</v>
      </c>
      <c r="P89" s="434" t="e">
        <f>IF(AND($Z$32,$Z$25),Calc!$F$4,NA())</f>
        <v>#N/A</v>
      </c>
      <c r="Q89" s="434" t="e">
        <f>IF(AND($Z$32,$Z$26),Calc!$F$5,NA())</f>
        <v>#N/A</v>
      </c>
      <c r="R89" s="434" t="e">
        <f>IF(AND($Z$32,$Z$27),Calc!$F$6,NA())</f>
        <v>#N/A</v>
      </c>
      <c r="S89" s="434" t="e">
        <f>IF(AND($Z$32,$Z$28),Calc!$F$7,NA())</f>
        <v>#N/A</v>
      </c>
      <c r="T89" s="434" t="e">
        <f>IF(AND($Z$32,$Z$29),Calc!$F$8,NA())</f>
        <v>#N/A</v>
      </c>
      <c r="U89" s="435" t="e">
        <f>IF(AND($Z$32,$Z$30),Calc!$F$9,NA())</f>
        <v>#N/A</v>
      </c>
      <c r="W89" s="385" t="e">
        <f>O89*SlopeS+P54</f>
        <v>#N/A</v>
      </c>
    </row>
    <row r="90" spans="14:24" x14ac:dyDescent="0.2">
      <c r="N90" s="420"/>
      <c r="O90" s="433" t="e">
        <f>IF($AA$32,Calc!$G$3,NA())</f>
        <v>#N/A</v>
      </c>
      <c r="P90" s="434" t="e">
        <f>IF(AND($AA$32,$AA$25),Calc!$G$4,NA())</f>
        <v>#N/A</v>
      </c>
      <c r="Q90" s="434" t="e">
        <f>IF(AND($AA$32,$AA$26),Calc!$G$5,NA())</f>
        <v>#N/A</v>
      </c>
      <c r="R90" s="434" t="e">
        <f>IF(AND($AA$32,$AA$27),Calc!$G$6,NA())</f>
        <v>#N/A</v>
      </c>
      <c r="S90" s="434" t="e">
        <f>IF(AND($AA$32,$AA$28),Calc!$G$7,NA())</f>
        <v>#N/A</v>
      </c>
      <c r="T90" s="434" t="e">
        <f>IF(AND($AA$32,$AA$29),Calc!$G$8,NA())</f>
        <v>#N/A</v>
      </c>
      <c r="U90" s="435" t="e">
        <f>IF(AND($AA$32,$AA$30),Calc!$G$9,NA())</f>
        <v>#N/A</v>
      </c>
      <c r="W90" s="385" t="e">
        <f>O90*SlopeS+P54</f>
        <v>#N/A</v>
      </c>
    </row>
    <row r="91" spans="14:24" ht="13.5" thickBot="1" x14ac:dyDescent="0.25">
      <c r="N91" s="420"/>
      <c r="O91" s="433" t="e">
        <f>IF($AB$32,Calc!$H$3,NA())</f>
        <v>#N/A</v>
      </c>
      <c r="P91" s="434" t="e">
        <f>IF(AND($AB$32,$AB$25),Calc!$H$4,NA())</f>
        <v>#N/A</v>
      </c>
      <c r="Q91" s="434" t="e">
        <f>IF(AND($AB$32,$AB$26),Calc!$H$5,NA())</f>
        <v>#N/A</v>
      </c>
      <c r="R91" s="434" t="e">
        <f>IF(AND($AB$32,$AB$27),Calc!$H$6,NA())</f>
        <v>#N/A</v>
      </c>
      <c r="S91" s="434" t="e">
        <f>IF(AND($AB$32,$AB$28),Calc!$H$7,NA())</f>
        <v>#N/A</v>
      </c>
      <c r="T91" s="434" t="e">
        <f>IF(AND($AB$32,$AB$29),Calc!$H$8,NA())</f>
        <v>#N/A</v>
      </c>
      <c r="U91" s="435" t="e">
        <f>IF(AND($AB$32,$AB$30),Calc!$H$9,NA())</f>
        <v>#N/A</v>
      </c>
      <c r="W91" s="386" t="e">
        <f>O91*SlopeS+P54</f>
        <v>#N/A</v>
      </c>
    </row>
    <row r="92" spans="14:24" x14ac:dyDescent="0.2">
      <c r="N92" s="426" t="s">
        <v>61</v>
      </c>
      <c r="O92" s="448">
        <v>0</v>
      </c>
      <c r="P92" s="448" t="e">
        <f>IF(AND($X$61,$X$48),Calc!$L$4,NA())</f>
        <v>#N/A</v>
      </c>
      <c r="Q92" s="448" t="e">
        <f>IF(AND($X$61,$X$49),Calc!$L$5,NA())</f>
        <v>#N/A</v>
      </c>
      <c r="R92" s="448" t="e">
        <f>IF(AND($X$61,$X$50),Calc!$L$6,NA())</f>
        <v>#N/A</v>
      </c>
      <c r="S92" s="448" t="e">
        <f>IF(AND($X$61,$X$51),Calc!$L$7,NA())</f>
        <v>#N/A</v>
      </c>
      <c r="T92" s="448" t="e">
        <f>IF(AND($X$61,$X$52),Calc!$L$8,NA())</f>
        <v>#N/A</v>
      </c>
      <c r="U92" s="449" t="e">
        <f>IF(AND($X$61,$X$53),Calc!$L$9,NA())</f>
        <v>#N/A</v>
      </c>
      <c r="W92" s="417"/>
      <c r="X92" s="1"/>
    </row>
    <row r="93" spans="14:24" ht="13.5" thickBot="1" x14ac:dyDescent="0.25">
      <c r="N93" s="79"/>
      <c r="O93" s="80">
        <v>0</v>
      </c>
      <c r="P93" s="78"/>
      <c r="Q93" s="78"/>
      <c r="R93" s="78"/>
      <c r="S93" s="78"/>
      <c r="T93" s="78"/>
      <c r="U93" s="388"/>
      <c r="W93" s="417"/>
      <c r="X93" s="1"/>
    </row>
    <row r="94" spans="14:24" x14ac:dyDescent="0.2">
      <c r="N94" s="419" t="s">
        <v>68</v>
      </c>
      <c r="O94" s="437">
        <v>0</v>
      </c>
      <c r="P94" s="438"/>
      <c r="Q94" s="439"/>
      <c r="R94" s="439"/>
      <c r="S94" s="439"/>
      <c r="T94" s="439"/>
      <c r="U94" s="440"/>
      <c r="W94" s="387" t="e">
        <f t="shared" ref="W94:W100" si="4">O94*SlopeTa+$P$54</f>
        <v>#DIV/0!</v>
      </c>
    </row>
    <row r="95" spans="14:24" x14ac:dyDescent="0.2">
      <c r="N95" s="419"/>
      <c r="O95" s="437" t="e">
        <f>IF(O32,Calc!C12,NA())</f>
        <v>#N/A</v>
      </c>
      <c r="P95" s="441" t="e">
        <f>IF(AND($O$32,O25),Calc!C13,NA())</f>
        <v>#N/A</v>
      </c>
      <c r="Q95" s="441" t="e">
        <f>IF(AND($O$32,O26),Calc!C14,NA())</f>
        <v>#N/A</v>
      </c>
      <c r="R95" s="441" t="e">
        <f>IF(AND($O$32,O27),Calc!C15,NA())</f>
        <v>#N/A</v>
      </c>
      <c r="S95" s="441" t="e">
        <f>IF(AND($O$32,O28),Calc!C16,NA())</f>
        <v>#N/A</v>
      </c>
      <c r="T95" s="441" t="e">
        <f>IF(AND(O32,O29),Calc!C17,NA())</f>
        <v>#N/A</v>
      </c>
      <c r="U95" s="442" t="e">
        <f>IF(AND(O32,O30),Calc!C18,NA())</f>
        <v>#N/A</v>
      </c>
      <c r="W95" s="385" t="e">
        <f t="shared" si="4"/>
        <v>#N/A</v>
      </c>
    </row>
    <row r="96" spans="14:24" x14ac:dyDescent="0.2">
      <c r="N96" s="419"/>
      <c r="O96" s="437" t="e">
        <f>IF(P32,Calc!D12,NA())</f>
        <v>#N/A</v>
      </c>
      <c r="P96" s="443" t="e">
        <f>IF(AND($P$32,P25),Calc!D13,NA())</f>
        <v>#N/A</v>
      </c>
      <c r="Q96" s="443" t="e">
        <f>IF(AND($P$32,P26),Calc!D14,NA())</f>
        <v>#N/A</v>
      </c>
      <c r="R96" s="443" t="e">
        <f>IF(AND($P$32,P27),Calc!D15,NA())</f>
        <v>#N/A</v>
      </c>
      <c r="S96" s="443" t="e">
        <f>IF(AND($P$32,P28),Calc!D16,NA())</f>
        <v>#N/A</v>
      </c>
      <c r="T96" s="443" t="e">
        <f>IF(AND($Q$32,P29),Calc!D17,NA())</f>
        <v>#N/A</v>
      </c>
      <c r="U96" s="444" t="e">
        <f>IF(AND($O$32,P30),Calc!D18,NA())</f>
        <v>#N/A</v>
      </c>
      <c r="W96" s="385" t="e">
        <f t="shared" si="4"/>
        <v>#N/A</v>
      </c>
    </row>
    <row r="97" spans="14:23" x14ac:dyDescent="0.2">
      <c r="N97" s="419"/>
      <c r="O97" s="437" t="e">
        <f>IF(Q32,Calc!E12,NA())</f>
        <v>#N/A</v>
      </c>
      <c r="P97" s="443" t="e">
        <f>IF(AND($Q$32,Q25),Calc!E13,NA())</f>
        <v>#N/A</v>
      </c>
      <c r="Q97" s="443" t="e">
        <f>IF(AND($Q$32,Q26),Calc!E14,NA())</f>
        <v>#N/A</v>
      </c>
      <c r="R97" s="443" t="e">
        <f>IF(AND($Q$32,Q27),Calc!E15,NA())</f>
        <v>#N/A</v>
      </c>
      <c r="S97" s="443" t="e">
        <f>IF(AND($Q$32,Q28),Calc!E16,NA())</f>
        <v>#N/A</v>
      </c>
      <c r="T97" s="443" t="e">
        <f>IF(AND($Q$32,Q29),Calc!E17,NA())</f>
        <v>#N/A</v>
      </c>
      <c r="U97" s="444" t="e">
        <f>IF(AND($Q$32,Q30),Calc!E18,NA())</f>
        <v>#N/A</v>
      </c>
      <c r="W97" s="385" t="e">
        <f t="shared" si="4"/>
        <v>#N/A</v>
      </c>
    </row>
    <row r="98" spans="14:23" x14ac:dyDescent="0.2">
      <c r="N98" s="419"/>
      <c r="O98" s="437" t="e">
        <f>IF(R32,Calc!F12,NA())</f>
        <v>#N/A</v>
      </c>
      <c r="P98" s="443" t="e">
        <f>IF(AND($R$32,R25),Calc!F13,NA())</f>
        <v>#N/A</v>
      </c>
      <c r="Q98" s="443" t="e">
        <f>IF(AND($R$32,R26),Calc!F14,NA())</f>
        <v>#N/A</v>
      </c>
      <c r="R98" s="443" t="e">
        <f>IF(AND($R$32,R27),Calc!F15,NA())</f>
        <v>#N/A</v>
      </c>
      <c r="S98" s="443" t="e">
        <f>IF(AND($R$32,R28),Calc!F16,NA())</f>
        <v>#N/A</v>
      </c>
      <c r="T98" s="443" t="e">
        <f>IF(AND($R$32,R29),Calc!F17,NA())</f>
        <v>#N/A</v>
      </c>
      <c r="U98" s="444" t="e">
        <f>IF(AND($R$32,R30),Calc!F18,NA())</f>
        <v>#N/A</v>
      </c>
      <c r="W98" s="385" t="e">
        <f t="shared" si="4"/>
        <v>#N/A</v>
      </c>
    </row>
    <row r="99" spans="14:23" x14ac:dyDescent="0.2">
      <c r="N99" s="419"/>
      <c r="O99" s="437" t="e">
        <f>IF(S32,Calc!G12,NA())</f>
        <v>#N/A</v>
      </c>
      <c r="P99" s="443" t="e">
        <f>IF(AND($S$32,S25),Calc!G13,NA())</f>
        <v>#N/A</v>
      </c>
      <c r="Q99" s="443" t="e">
        <f>IF(AND($S$32,S26),Calc!G14,NA())</f>
        <v>#N/A</v>
      </c>
      <c r="R99" s="443" t="e">
        <f>IF(AND($S$32,S27),Calc!G15,NA())</f>
        <v>#N/A</v>
      </c>
      <c r="S99" s="443" t="e">
        <f>IF(AND($S$32,S30),Calc!G16,NA())</f>
        <v>#N/A</v>
      </c>
      <c r="T99" s="443" t="e">
        <f>IF(AND($S$32,S29),Calc!G17,NA())</f>
        <v>#N/A</v>
      </c>
      <c r="U99" s="444" t="e">
        <f>IF(AND($S$32,S30),Calc!G18,NA())</f>
        <v>#N/A</v>
      </c>
      <c r="W99" s="385" t="e">
        <f t="shared" si="4"/>
        <v>#N/A</v>
      </c>
    </row>
    <row r="100" spans="14:23" ht="13.5" thickBot="1" x14ac:dyDescent="0.25">
      <c r="N100" s="421"/>
      <c r="O100" s="445" t="e">
        <f>IF(T32,Calc!H12,NA())</f>
        <v>#N/A</v>
      </c>
      <c r="P100" s="446" t="e">
        <f>IF(AND($T$32,T25),Calc!H13,NA())</f>
        <v>#N/A</v>
      </c>
      <c r="Q100" s="446" t="e">
        <f>IF(AND($T$32,T26),Calc!H14,NA())</f>
        <v>#N/A</v>
      </c>
      <c r="R100" s="446" t="e">
        <f>IF(AND($T$32,T27),Calc!H15,NA())</f>
        <v>#N/A</v>
      </c>
      <c r="S100" s="446" t="e">
        <f>IF(AND($T$32,T28),Calc!H16,NA())</f>
        <v>#N/A</v>
      </c>
      <c r="T100" s="446" t="e">
        <f>IF(AND($T$32,T29),Calc!H17,NA())</f>
        <v>#N/A</v>
      </c>
      <c r="U100" s="447" t="e">
        <f>IF(AND($T$32,T30),Calc!H18,NA())</f>
        <v>#N/A</v>
      </c>
      <c r="W100" s="386" t="e">
        <f t="shared" si="4"/>
        <v>#N/A</v>
      </c>
    </row>
    <row r="101" spans="14:23" x14ac:dyDescent="0.2">
      <c r="N101" s="8"/>
      <c r="O101" s="78"/>
      <c r="P101" s="8"/>
      <c r="Q101" s="8"/>
      <c r="R101" s="8"/>
      <c r="S101" s="8"/>
      <c r="T101" s="8"/>
      <c r="U101" s="8"/>
    </row>
    <row r="102" spans="14:23" x14ac:dyDescent="0.2">
      <c r="N102" s="8"/>
      <c r="O102" s="78"/>
      <c r="P102" s="8"/>
      <c r="Q102" s="8"/>
      <c r="R102" s="8"/>
      <c r="S102" s="8"/>
      <c r="T102" s="8"/>
      <c r="U102" s="8"/>
    </row>
    <row r="103" spans="14:23" x14ac:dyDescent="0.2">
      <c r="N103" s="8"/>
      <c r="O103" s="8"/>
      <c r="P103" s="8"/>
      <c r="Q103" s="8"/>
      <c r="R103" s="8"/>
      <c r="S103" s="8"/>
      <c r="T103" s="8"/>
      <c r="U103" s="8"/>
    </row>
    <row r="104" spans="14:23" x14ac:dyDescent="0.2">
      <c r="N104" s="8"/>
      <c r="O104" s="8"/>
      <c r="P104" s="8"/>
      <c r="Q104" s="8"/>
      <c r="R104" s="8"/>
      <c r="S104" s="8"/>
      <c r="T104" s="8"/>
      <c r="U104" s="81"/>
    </row>
    <row r="105" spans="14:23" x14ac:dyDescent="0.2">
      <c r="N105" s="8"/>
      <c r="O105" s="8"/>
      <c r="P105" s="8"/>
      <c r="Q105" s="8"/>
      <c r="R105" s="8"/>
      <c r="S105" s="8"/>
      <c r="T105" s="8"/>
      <c r="U105" s="81"/>
    </row>
    <row r="106" spans="14:23" x14ac:dyDescent="0.2">
      <c r="N106" s="8"/>
      <c r="O106" s="8"/>
      <c r="P106" s="8"/>
      <c r="Q106" s="8"/>
      <c r="R106" s="8"/>
      <c r="S106" s="8"/>
      <c r="T106" s="8"/>
      <c r="U106" s="81"/>
    </row>
    <row r="107" spans="14:23" x14ac:dyDescent="0.2">
      <c r="N107" s="8"/>
      <c r="O107" s="8"/>
      <c r="P107" s="8"/>
      <c r="Q107" s="8"/>
      <c r="R107" s="8"/>
      <c r="S107" s="8"/>
      <c r="T107" s="8"/>
      <c r="U107" s="81"/>
    </row>
    <row r="108" spans="14:23" x14ac:dyDescent="0.2">
      <c r="N108" s="8"/>
      <c r="O108" s="8"/>
      <c r="P108" s="8"/>
      <c r="Q108" s="8"/>
      <c r="R108" s="8"/>
      <c r="S108" s="8"/>
      <c r="T108" s="8"/>
      <c r="U108" s="82"/>
    </row>
    <row r="109" spans="14:23" x14ac:dyDescent="0.2">
      <c r="N109" s="8"/>
      <c r="O109" s="8"/>
      <c r="P109" s="8"/>
      <c r="Q109" s="8"/>
      <c r="R109" s="8"/>
      <c r="S109" s="8"/>
      <c r="T109" s="8"/>
      <c r="U109" s="82"/>
    </row>
    <row r="110" spans="14:23" x14ac:dyDescent="0.2">
      <c r="N110" s="8"/>
      <c r="O110" s="8"/>
      <c r="P110" s="8"/>
      <c r="Q110" s="8"/>
      <c r="R110" s="8"/>
      <c r="S110" s="8"/>
      <c r="T110" s="8"/>
      <c r="U110" s="81"/>
    </row>
    <row r="111" spans="14:23" x14ac:dyDescent="0.2">
      <c r="N111" s="8"/>
      <c r="O111" s="8"/>
      <c r="P111" s="8"/>
      <c r="Q111" s="8"/>
      <c r="R111" s="8"/>
      <c r="S111" s="8"/>
      <c r="T111" s="8"/>
      <c r="U111" s="81"/>
    </row>
    <row r="112" spans="14:23" x14ac:dyDescent="0.2">
      <c r="N112" s="8"/>
      <c r="O112" s="8"/>
      <c r="P112" s="8"/>
      <c r="Q112" s="8"/>
      <c r="R112" s="8"/>
      <c r="S112" s="8"/>
      <c r="T112" s="8"/>
      <c r="U112" s="81"/>
    </row>
    <row r="113" spans="14:22" x14ac:dyDescent="0.2">
      <c r="N113" s="8"/>
      <c r="O113" s="8"/>
      <c r="P113" s="8"/>
      <c r="Q113" s="8"/>
      <c r="R113" s="8"/>
      <c r="S113" s="8"/>
      <c r="T113" s="8"/>
      <c r="U113" s="81"/>
    </row>
    <row r="114" spans="14:22" x14ac:dyDescent="0.2">
      <c r="N114" s="8"/>
      <c r="O114" s="8"/>
      <c r="P114" s="8"/>
      <c r="Q114" s="8"/>
      <c r="R114" s="8"/>
      <c r="S114" s="8"/>
      <c r="T114" s="8"/>
      <c r="U114" s="81"/>
    </row>
    <row r="115" spans="14:22" x14ac:dyDescent="0.2">
      <c r="N115" s="8"/>
      <c r="O115" s="8"/>
      <c r="P115" s="8"/>
      <c r="Q115" s="8"/>
      <c r="R115" s="8"/>
      <c r="S115" s="8"/>
      <c r="T115" s="8"/>
      <c r="U115" s="81"/>
    </row>
    <row r="116" spans="14:22" x14ac:dyDescent="0.2">
      <c r="O116" s="10"/>
      <c r="P116" s="8"/>
      <c r="Q116" s="8"/>
      <c r="R116" s="8"/>
      <c r="S116" s="11"/>
      <c r="T116" s="11"/>
      <c r="U116" s="11"/>
      <c r="V116" s="9"/>
    </row>
    <row r="117" spans="14:22" x14ac:dyDescent="0.2">
      <c r="O117" s="9"/>
      <c r="P117" s="11"/>
      <c r="Q117" s="11"/>
      <c r="R117" s="11"/>
      <c r="S117" s="9"/>
      <c r="T117" s="9"/>
      <c r="U117" s="9"/>
      <c r="V117" s="9"/>
    </row>
    <row r="118" spans="14:22" x14ac:dyDescent="0.2">
      <c r="O118" s="9"/>
      <c r="P118" s="9"/>
      <c r="Q118" s="9"/>
      <c r="R118" s="9"/>
      <c r="S118" s="9"/>
      <c r="T118" s="9"/>
      <c r="U118" s="9"/>
      <c r="V118" s="9"/>
    </row>
    <row r="119" spans="14:22" x14ac:dyDescent="0.2">
      <c r="O119" s="9"/>
      <c r="P119" s="9"/>
      <c r="Q119" s="9"/>
      <c r="R119" s="9"/>
      <c r="S119" s="9"/>
      <c r="T119" s="9"/>
      <c r="U119" s="9"/>
      <c r="V119" s="9"/>
    </row>
    <row r="120" spans="14:22" x14ac:dyDescent="0.2">
      <c r="O120" s="9"/>
      <c r="P120" s="9"/>
      <c r="Q120" s="9"/>
      <c r="R120" s="9"/>
      <c r="S120" s="9"/>
      <c r="T120" s="9"/>
      <c r="U120" s="9"/>
      <c r="V120" s="9"/>
    </row>
    <row r="121" spans="14:22" x14ac:dyDescent="0.2">
      <c r="O121" s="9"/>
      <c r="P121" s="9"/>
      <c r="Q121" s="9"/>
      <c r="R121" s="9"/>
      <c r="S121" s="9"/>
      <c r="T121" s="9"/>
      <c r="U121" s="9"/>
      <c r="V121" s="9"/>
    </row>
    <row r="122" spans="14:22" x14ac:dyDescent="0.2">
      <c r="O122" s="9"/>
      <c r="P122" s="9"/>
      <c r="Q122" s="9"/>
      <c r="R122" s="9"/>
      <c r="S122" s="9"/>
      <c r="T122" s="9"/>
      <c r="U122" s="9"/>
      <c r="V122" s="9"/>
    </row>
    <row r="123" spans="14:22" x14ac:dyDescent="0.2">
      <c r="O123" s="9"/>
      <c r="P123" s="9"/>
      <c r="Q123" s="9"/>
      <c r="R123" s="9"/>
      <c r="S123" s="9"/>
      <c r="T123" s="9"/>
      <c r="U123" s="9"/>
      <c r="V123" s="9"/>
    </row>
    <row r="124" spans="14:22" x14ac:dyDescent="0.2">
      <c r="O124" s="9"/>
      <c r="P124" s="9"/>
      <c r="Q124" s="9"/>
      <c r="R124" s="9"/>
      <c r="S124" s="9"/>
      <c r="T124" s="9"/>
      <c r="U124" s="9"/>
      <c r="V124" s="9"/>
    </row>
    <row r="125" spans="14:22" x14ac:dyDescent="0.2">
      <c r="O125" s="9"/>
      <c r="P125" s="9"/>
      <c r="Q125" s="9"/>
      <c r="R125" s="9"/>
      <c r="S125" s="9"/>
      <c r="T125" s="9"/>
      <c r="U125" s="9"/>
      <c r="V125" s="9"/>
    </row>
    <row r="126" spans="14:22" x14ac:dyDescent="0.2">
      <c r="O126" s="9"/>
      <c r="P126" s="9"/>
      <c r="Q126" s="9"/>
      <c r="R126" s="9"/>
      <c r="S126" s="9"/>
      <c r="T126" s="9"/>
      <c r="U126" s="9"/>
      <c r="V126" s="9"/>
    </row>
    <row r="127" spans="14:22" x14ac:dyDescent="0.2">
      <c r="O127" s="9"/>
      <c r="P127" s="9"/>
      <c r="Q127" s="9"/>
      <c r="R127" s="9"/>
      <c r="S127" s="9"/>
      <c r="T127" s="9"/>
      <c r="U127" s="9"/>
      <c r="V127" s="9"/>
    </row>
    <row r="128" spans="14:22" x14ac:dyDescent="0.2">
      <c r="O128" s="9"/>
      <c r="P128" s="9"/>
      <c r="Q128" s="9"/>
      <c r="R128" s="9"/>
      <c r="S128" s="9"/>
      <c r="T128" s="9"/>
      <c r="U128" s="9"/>
      <c r="V128" s="9"/>
    </row>
    <row r="129" spans="15:22" x14ac:dyDescent="0.2">
      <c r="O129" s="9"/>
      <c r="P129" s="9"/>
      <c r="Q129" s="9"/>
      <c r="R129" s="9"/>
      <c r="S129" s="9"/>
      <c r="T129" s="9"/>
      <c r="U129" s="9"/>
      <c r="V129" s="9"/>
    </row>
    <row r="130" spans="15:22" x14ac:dyDescent="0.2">
      <c r="O130" s="9"/>
      <c r="P130" s="9"/>
      <c r="Q130" s="9"/>
      <c r="R130" s="9"/>
      <c r="S130" s="9"/>
      <c r="T130" s="9"/>
      <c r="U130" s="9"/>
      <c r="V130" s="9"/>
    </row>
    <row r="131" spans="15:22" x14ac:dyDescent="0.2">
      <c r="O131" s="9"/>
      <c r="P131" s="9"/>
      <c r="Q131" s="9"/>
      <c r="R131" s="9"/>
      <c r="S131" s="9"/>
      <c r="T131" s="9"/>
      <c r="U131" s="9"/>
      <c r="V131" s="9"/>
    </row>
    <row r="132" spans="15:22" x14ac:dyDescent="0.2">
      <c r="O132" s="9"/>
      <c r="P132" s="9"/>
      <c r="Q132" s="9"/>
      <c r="R132" s="9"/>
      <c r="S132" s="9"/>
      <c r="T132" s="9"/>
      <c r="U132" s="9"/>
      <c r="V132" s="9"/>
    </row>
    <row r="133" spans="15:22" x14ac:dyDescent="0.2">
      <c r="O133" s="9"/>
      <c r="P133" s="9"/>
      <c r="Q133" s="9"/>
      <c r="R133" s="9"/>
      <c r="S133" s="9"/>
      <c r="T133" s="9"/>
      <c r="U133" s="9"/>
      <c r="V133" s="9"/>
    </row>
    <row r="134" spans="15:22" x14ac:dyDescent="0.2">
      <c r="O134" s="9"/>
      <c r="P134" s="9"/>
      <c r="Q134" s="9"/>
      <c r="R134" s="9"/>
      <c r="S134" s="9"/>
      <c r="T134" s="9"/>
      <c r="U134" s="9"/>
      <c r="V134" s="9"/>
    </row>
    <row r="135" spans="15:22" x14ac:dyDescent="0.2">
      <c r="O135" s="9"/>
      <c r="P135" s="9"/>
      <c r="Q135" s="9"/>
      <c r="R135" s="9"/>
      <c r="S135" s="9"/>
      <c r="T135" s="9"/>
      <c r="U135" s="9"/>
      <c r="V135" s="9"/>
    </row>
    <row r="136" spans="15:22" x14ac:dyDescent="0.2">
      <c r="O136" s="9"/>
      <c r="P136" s="9"/>
      <c r="Q136" s="9"/>
      <c r="R136" s="9"/>
      <c r="S136" s="9"/>
      <c r="T136" s="9"/>
      <c r="U136" s="9"/>
      <c r="V136" s="9"/>
    </row>
    <row r="137" spans="15:22" x14ac:dyDescent="0.2">
      <c r="O137" s="9"/>
      <c r="P137" s="9"/>
      <c r="Q137" s="9"/>
      <c r="R137" s="9"/>
      <c r="S137" s="9"/>
      <c r="T137" s="9"/>
      <c r="U137" s="9"/>
      <c r="V137" s="9"/>
    </row>
    <row r="138" spans="15:22" x14ac:dyDescent="0.2">
      <c r="O138" s="9"/>
      <c r="P138" s="9"/>
      <c r="Q138" s="9"/>
      <c r="R138" s="9"/>
      <c r="S138" s="9"/>
      <c r="T138" s="9"/>
      <c r="U138" s="9"/>
      <c r="V138" s="9"/>
    </row>
    <row r="139" spans="15:22" x14ac:dyDescent="0.2">
      <c r="O139" s="9"/>
      <c r="P139" s="9"/>
      <c r="Q139" s="9"/>
      <c r="R139" s="9"/>
      <c r="S139" s="9"/>
      <c r="T139" s="9"/>
      <c r="U139" s="9"/>
      <c r="V139" s="9"/>
    </row>
    <row r="140" spans="15:22" x14ac:dyDescent="0.2">
      <c r="O140" s="9"/>
      <c r="P140" s="9"/>
      <c r="Q140" s="9"/>
      <c r="R140" s="9"/>
      <c r="S140" s="9"/>
      <c r="T140" s="9"/>
      <c r="U140" s="9"/>
      <c r="V140" s="9"/>
    </row>
    <row r="141" spans="15:22" x14ac:dyDescent="0.2">
      <c r="O141" s="11"/>
      <c r="P141" s="11"/>
      <c r="Q141" s="11"/>
      <c r="R141" s="11"/>
      <c r="S141" s="11"/>
      <c r="T141" s="9"/>
      <c r="U141" s="9"/>
      <c r="V141" s="9"/>
    </row>
    <row r="142" spans="15:22" x14ac:dyDescent="0.2">
      <c r="O142" s="11"/>
      <c r="P142" s="11"/>
      <c r="Q142" s="11"/>
      <c r="R142" s="11"/>
      <c r="S142" s="11"/>
      <c r="T142" s="9"/>
      <c r="U142" s="9"/>
      <c r="V142" s="9"/>
    </row>
    <row r="143" spans="15:22" x14ac:dyDescent="0.2">
      <c r="O143" s="9"/>
      <c r="P143" s="9"/>
      <c r="Q143" s="9"/>
      <c r="R143" s="9"/>
      <c r="S143" s="9"/>
      <c r="T143" s="9"/>
      <c r="U143" s="9"/>
      <c r="V143" s="9"/>
    </row>
    <row r="144" spans="15:22" x14ac:dyDescent="0.2">
      <c r="O144" s="83"/>
      <c r="P144" s="9"/>
      <c r="Q144" s="9"/>
      <c r="R144" s="9"/>
      <c r="S144" s="9"/>
      <c r="T144" s="9"/>
      <c r="U144" s="9"/>
      <c r="V144" s="9"/>
    </row>
    <row r="145" spans="15:22" x14ac:dyDescent="0.2">
      <c r="O145" s="83"/>
      <c r="P145" s="9"/>
      <c r="Q145" s="9"/>
      <c r="R145" s="9"/>
      <c r="S145" s="9"/>
      <c r="T145" s="9"/>
      <c r="U145" s="9"/>
      <c r="V145" s="9"/>
    </row>
    <row r="146" spans="15:22" x14ac:dyDescent="0.2">
      <c r="O146" s="9"/>
      <c r="P146" s="9"/>
      <c r="Q146" s="9"/>
      <c r="R146" s="9"/>
      <c r="S146" s="9"/>
      <c r="T146" s="9"/>
      <c r="U146" s="9"/>
      <c r="V146" s="9"/>
    </row>
    <row r="147" spans="15:22" x14ac:dyDescent="0.2">
      <c r="O147" s="9"/>
      <c r="P147" s="9"/>
      <c r="Q147" s="9"/>
      <c r="R147" s="9"/>
      <c r="S147" s="9"/>
      <c r="T147" s="9"/>
      <c r="U147" s="9"/>
      <c r="V147" s="9"/>
    </row>
    <row r="148" spans="15:22" x14ac:dyDescent="0.2">
      <c r="O148" s="9"/>
      <c r="P148" s="9"/>
      <c r="Q148" s="9"/>
      <c r="R148" s="9"/>
      <c r="S148" s="9"/>
      <c r="T148" s="9"/>
      <c r="U148" s="9"/>
      <c r="V148" s="9"/>
    </row>
    <row r="149" spans="15:22" x14ac:dyDescent="0.2">
      <c r="O149" s="9"/>
      <c r="P149" s="9"/>
      <c r="Q149" s="9"/>
      <c r="R149" s="9"/>
      <c r="S149" s="9"/>
      <c r="T149" s="9"/>
      <c r="U149" s="9"/>
      <c r="V149" s="9"/>
    </row>
    <row r="150" spans="15:22" x14ac:dyDescent="0.2">
      <c r="O150" s="9"/>
      <c r="P150" s="9"/>
      <c r="Q150" s="9"/>
      <c r="R150" s="9"/>
      <c r="S150" s="9"/>
      <c r="T150" s="9"/>
      <c r="U150" s="9"/>
      <c r="V150" s="9"/>
    </row>
    <row r="151" spans="15:22" x14ac:dyDescent="0.2">
      <c r="O151" s="9"/>
      <c r="P151" s="9"/>
      <c r="Q151" s="9"/>
      <c r="R151" s="9"/>
      <c r="S151" s="9"/>
      <c r="T151" s="9"/>
      <c r="U151" s="9"/>
      <c r="V151" s="9"/>
    </row>
    <row r="152" spans="15:22" x14ac:dyDescent="0.2">
      <c r="O152" s="9"/>
      <c r="P152" s="9"/>
      <c r="Q152" s="9"/>
      <c r="R152" s="9"/>
      <c r="S152" s="9"/>
      <c r="T152" s="9"/>
      <c r="U152" s="9"/>
      <c r="V152" s="9"/>
    </row>
    <row r="153" spans="15:22" x14ac:dyDescent="0.2">
      <c r="O153" s="9"/>
      <c r="P153" s="9"/>
      <c r="Q153" s="9"/>
      <c r="R153" s="9"/>
      <c r="S153" s="9"/>
      <c r="T153" s="9"/>
      <c r="U153" s="9"/>
      <c r="V153" s="9"/>
    </row>
    <row r="154" spans="15:22" x14ac:dyDescent="0.2">
      <c r="O154" s="9"/>
      <c r="P154" s="9"/>
      <c r="Q154" s="9"/>
      <c r="R154" s="9"/>
      <c r="S154" s="9"/>
      <c r="T154" s="9"/>
      <c r="U154" s="9"/>
      <c r="V154" s="9"/>
    </row>
    <row r="155" spans="15:22" x14ac:dyDescent="0.2">
      <c r="O155" s="9"/>
      <c r="P155" s="9"/>
      <c r="Q155" s="9"/>
      <c r="R155" s="9"/>
      <c r="S155" s="9"/>
      <c r="T155" s="9"/>
      <c r="U155" s="9"/>
      <c r="V155" s="9"/>
    </row>
    <row r="156" spans="15:22" x14ac:dyDescent="0.2">
      <c r="O156" s="9"/>
      <c r="P156" s="9"/>
      <c r="Q156" s="9"/>
      <c r="R156" s="9"/>
      <c r="S156" s="9"/>
      <c r="T156" s="9"/>
      <c r="U156" s="9"/>
      <c r="V156" s="9"/>
    </row>
    <row r="157" spans="15:22" x14ac:dyDescent="0.2">
      <c r="O157" s="9"/>
      <c r="P157" s="9"/>
      <c r="Q157" s="9"/>
      <c r="R157" s="9"/>
      <c r="S157" s="9"/>
      <c r="T157" s="9"/>
      <c r="U157" s="9"/>
      <c r="V157" s="9"/>
    </row>
    <row r="158" spans="15:22" x14ac:dyDescent="0.2">
      <c r="O158" s="9"/>
      <c r="P158" s="9"/>
      <c r="Q158" s="9"/>
      <c r="R158" s="9"/>
      <c r="S158" s="9"/>
      <c r="T158" s="9"/>
      <c r="U158" s="9"/>
      <c r="V158" s="9"/>
    </row>
    <row r="159" spans="15:22" x14ac:dyDescent="0.2">
      <c r="O159" s="9"/>
      <c r="P159" s="9"/>
      <c r="Q159" s="9"/>
      <c r="R159" s="9"/>
      <c r="S159" s="9"/>
      <c r="T159" s="9"/>
      <c r="U159" s="9"/>
      <c r="V159" s="9"/>
    </row>
    <row r="160" spans="15:22" x14ac:dyDescent="0.2">
      <c r="O160" s="8"/>
      <c r="P160" s="8"/>
      <c r="Q160" s="8"/>
      <c r="R160" s="8"/>
      <c r="S160" s="8"/>
      <c r="T160" s="8"/>
      <c r="U160" s="8"/>
      <c r="V160" s="8"/>
    </row>
    <row r="161" spans="15:22" x14ac:dyDescent="0.2">
      <c r="O161" s="8"/>
      <c r="P161" s="8"/>
      <c r="Q161" s="8"/>
      <c r="R161" s="8"/>
      <c r="S161" s="8"/>
      <c r="T161" s="8"/>
      <c r="U161" s="8"/>
      <c r="V161" s="8"/>
    </row>
    <row r="162" spans="15:22" x14ac:dyDescent="0.2">
      <c r="O162" s="8"/>
      <c r="P162" s="8"/>
      <c r="Q162" s="8"/>
      <c r="R162" s="8"/>
      <c r="S162" s="8"/>
      <c r="T162" s="8"/>
      <c r="U162" s="8"/>
      <c r="V162" s="8"/>
    </row>
    <row r="163" spans="15:22" x14ac:dyDescent="0.2">
      <c r="O163" s="8"/>
      <c r="P163" s="8"/>
      <c r="Q163" s="8"/>
      <c r="R163" s="8"/>
      <c r="S163" s="8"/>
      <c r="T163" s="8"/>
      <c r="U163" s="8"/>
      <c r="V163" s="8"/>
    </row>
    <row r="164" spans="15:22" x14ac:dyDescent="0.2">
      <c r="O164" s="8"/>
      <c r="P164" s="8"/>
      <c r="Q164" s="8"/>
      <c r="R164" s="8"/>
      <c r="S164" s="8"/>
      <c r="T164" s="8"/>
      <c r="U164" s="8"/>
      <c r="V164" s="8"/>
    </row>
    <row r="165" spans="15:22" x14ac:dyDescent="0.2">
      <c r="O165" s="8"/>
      <c r="P165" s="8"/>
      <c r="Q165" s="8"/>
      <c r="R165" s="8"/>
      <c r="S165" s="8"/>
      <c r="T165" s="8"/>
      <c r="U165" s="8"/>
      <c r="V165" s="8"/>
    </row>
    <row r="166" spans="15:22" x14ac:dyDescent="0.2">
      <c r="O166" s="8"/>
      <c r="P166" s="8"/>
      <c r="Q166" s="8"/>
      <c r="R166" s="8"/>
      <c r="S166" s="8"/>
      <c r="T166" s="8"/>
      <c r="U166" s="8"/>
      <c r="V166" s="8"/>
    </row>
    <row r="167" spans="15:22" x14ac:dyDescent="0.2">
      <c r="O167" s="8"/>
      <c r="P167" s="8"/>
      <c r="Q167" s="8"/>
      <c r="R167" s="8"/>
      <c r="S167" s="8"/>
      <c r="T167" s="8"/>
      <c r="U167" s="8"/>
      <c r="V167" s="8"/>
    </row>
    <row r="168" spans="15:22" x14ac:dyDescent="0.2">
      <c r="O168" s="8"/>
      <c r="P168" s="8"/>
      <c r="Q168" s="8"/>
      <c r="R168" s="8"/>
      <c r="S168" s="8"/>
      <c r="T168" s="8"/>
      <c r="U168" s="8"/>
      <c r="V168" s="8"/>
    </row>
    <row r="169" spans="15:22" x14ac:dyDescent="0.2">
      <c r="O169" s="8"/>
      <c r="P169" s="8"/>
      <c r="Q169" s="8"/>
      <c r="R169" s="8"/>
      <c r="S169" s="8"/>
      <c r="T169" s="8"/>
      <c r="U169" s="8"/>
      <c r="V169" s="8"/>
    </row>
    <row r="170" spans="15:22" x14ac:dyDescent="0.2">
      <c r="O170" s="8"/>
      <c r="P170" s="8"/>
      <c r="Q170" s="8"/>
      <c r="R170" s="8"/>
      <c r="S170" s="8"/>
      <c r="T170" s="8"/>
      <c r="U170" s="8"/>
      <c r="V170" s="8"/>
    </row>
    <row r="171" spans="15:22" x14ac:dyDescent="0.2">
      <c r="O171" s="8"/>
      <c r="P171" s="8"/>
      <c r="Q171" s="8"/>
      <c r="R171" s="8"/>
      <c r="S171" s="8"/>
      <c r="T171" s="8"/>
      <c r="U171" s="8"/>
      <c r="V171" s="8"/>
    </row>
    <row r="172" spans="15:22" x14ac:dyDescent="0.2">
      <c r="O172" s="8"/>
      <c r="P172" s="8"/>
      <c r="Q172" s="8"/>
      <c r="R172" s="8"/>
      <c r="S172" s="8"/>
      <c r="T172" s="8"/>
      <c r="U172" s="8"/>
      <c r="V172" s="8"/>
    </row>
    <row r="173" spans="15:22" x14ac:dyDescent="0.2">
      <c r="O173" s="8"/>
      <c r="P173" s="8"/>
      <c r="Q173" s="8"/>
      <c r="R173" s="8"/>
      <c r="S173" s="8"/>
      <c r="T173" s="8"/>
      <c r="U173" s="8"/>
      <c r="V173" s="8"/>
    </row>
    <row r="174" spans="15:22" x14ac:dyDescent="0.2">
      <c r="O174" s="8"/>
      <c r="P174" s="8"/>
      <c r="Q174" s="8"/>
      <c r="R174" s="8"/>
      <c r="S174" s="8"/>
      <c r="T174" s="8"/>
      <c r="U174" s="8"/>
      <c r="V174" s="8"/>
    </row>
    <row r="175" spans="15:22" x14ac:dyDescent="0.2">
      <c r="O175" s="8"/>
      <c r="P175" s="8"/>
      <c r="Q175" s="8"/>
      <c r="R175" s="8"/>
      <c r="S175" s="8"/>
      <c r="T175" s="8"/>
      <c r="U175" s="8"/>
      <c r="V175" s="8"/>
    </row>
    <row r="176" spans="15:22" x14ac:dyDescent="0.2">
      <c r="O176" s="8"/>
      <c r="P176" s="8"/>
      <c r="Q176" s="8"/>
      <c r="R176" s="8"/>
      <c r="S176" s="8"/>
      <c r="T176" s="8"/>
      <c r="U176" s="8"/>
      <c r="V176" s="8"/>
    </row>
    <row r="177" spans="15:22" x14ac:dyDescent="0.2">
      <c r="O177" s="8"/>
      <c r="P177" s="8"/>
      <c r="Q177" s="8"/>
      <c r="R177" s="8"/>
      <c r="S177" s="8"/>
      <c r="T177" s="8"/>
      <c r="U177" s="8"/>
      <c r="V177" s="8"/>
    </row>
    <row r="178" spans="15:22" x14ac:dyDescent="0.2">
      <c r="O178" s="8"/>
      <c r="P178" s="8"/>
      <c r="Q178" s="8"/>
      <c r="R178" s="8"/>
      <c r="S178" s="8"/>
      <c r="T178" s="8"/>
      <c r="U178" s="8"/>
      <c r="V178" s="8"/>
    </row>
    <row r="179" spans="15:22" x14ac:dyDescent="0.2">
      <c r="O179" s="8"/>
      <c r="P179" s="8"/>
      <c r="Q179" s="8"/>
      <c r="R179" s="8"/>
      <c r="S179" s="8"/>
      <c r="T179" s="8"/>
      <c r="U179" s="8"/>
      <c r="V179" s="8"/>
    </row>
    <row r="180" spans="15:22" x14ac:dyDescent="0.2">
      <c r="O180" s="8"/>
      <c r="P180" s="8"/>
      <c r="Q180" s="8"/>
      <c r="R180" s="8"/>
      <c r="S180" s="8"/>
      <c r="T180" s="8"/>
      <c r="U180" s="8"/>
      <c r="V180" s="8"/>
    </row>
    <row r="181" spans="15:22" x14ac:dyDescent="0.2">
      <c r="O181" s="8"/>
      <c r="P181" s="8"/>
      <c r="Q181" s="8"/>
      <c r="R181" s="8"/>
      <c r="S181" s="8"/>
      <c r="T181" s="8"/>
      <c r="U181" s="8"/>
      <c r="V181" s="8"/>
    </row>
    <row r="182" spans="15:22" x14ac:dyDescent="0.2">
      <c r="O182" s="8"/>
      <c r="P182" s="8"/>
      <c r="Q182" s="8"/>
      <c r="R182" s="8"/>
      <c r="S182" s="8"/>
      <c r="T182" s="8"/>
      <c r="U182" s="8"/>
      <c r="V182" s="8"/>
    </row>
    <row r="183" spans="15:22" x14ac:dyDescent="0.2">
      <c r="O183" s="8"/>
      <c r="P183" s="8"/>
      <c r="Q183" s="8"/>
      <c r="R183" s="8"/>
      <c r="S183" s="8"/>
      <c r="T183" s="8"/>
      <c r="U183" s="8"/>
      <c r="V183" s="8"/>
    </row>
    <row r="184" spans="15:22" x14ac:dyDescent="0.2">
      <c r="O184" s="8"/>
      <c r="P184" s="8"/>
      <c r="Q184" s="8"/>
      <c r="R184" s="8"/>
      <c r="S184" s="8"/>
      <c r="T184" s="8"/>
      <c r="U184" s="8"/>
      <c r="V184" s="8"/>
    </row>
    <row r="185" spans="15:22" x14ac:dyDescent="0.2">
      <c r="O185" s="8"/>
      <c r="P185" s="8"/>
      <c r="Q185" s="8"/>
      <c r="R185" s="8"/>
      <c r="S185" s="8"/>
      <c r="T185" s="8"/>
      <c r="U185" s="8"/>
      <c r="V185" s="8"/>
    </row>
    <row r="186" spans="15:22" x14ac:dyDescent="0.2">
      <c r="O186" s="8"/>
      <c r="P186" s="8"/>
      <c r="Q186" s="8"/>
      <c r="R186" s="8"/>
      <c r="S186" s="8"/>
      <c r="T186" s="8"/>
      <c r="U186" s="8"/>
      <c r="V186" s="8"/>
    </row>
    <row r="187" spans="15:22" x14ac:dyDescent="0.2">
      <c r="O187" s="8"/>
      <c r="P187" s="8"/>
      <c r="Q187" s="8"/>
      <c r="R187" s="8"/>
      <c r="S187" s="8"/>
      <c r="T187" s="8"/>
      <c r="U187" s="8"/>
      <c r="V187" s="8"/>
    </row>
    <row r="188" spans="15:22" x14ac:dyDescent="0.2">
      <c r="O188" s="8"/>
      <c r="P188" s="8"/>
      <c r="Q188" s="8"/>
      <c r="R188" s="8"/>
      <c r="S188" s="8"/>
      <c r="T188" s="8"/>
      <c r="U188" s="8"/>
      <c r="V188" s="8"/>
    </row>
    <row r="189" spans="15:22" x14ac:dyDescent="0.2">
      <c r="O189" s="8"/>
      <c r="P189" s="8"/>
      <c r="Q189" s="8"/>
      <c r="R189" s="8"/>
      <c r="S189" s="8"/>
      <c r="T189" s="8"/>
      <c r="U189" s="8"/>
      <c r="V189" s="8"/>
    </row>
    <row r="190" spans="15:22" x14ac:dyDescent="0.2">
      <c r="O190" s="8"/>
      <c r="P190" s="8"/>
      <c r="Q190" s="8"/>
      <c r="R190" s="8"/>
      <c r="S190" s="8"/>
      <c r="T190" s="8"/>
      <c r="U190" s="8"/>
      <c r="V190" s="8"/>
    </row>
    <row r="191" spans="15:22" x14ac:dyDescent="0.2">
      <c r="O191" s="8"/>
      <c r="P191" s="8"/>
      <c r="Q191" s="8"/>
      <c r="R191" s="8"/>
      <c r="S191" s="8"/>
      <c r="T191" s="8"/>
      <c r="U191" s="8"/>
      <c r="V191" s="8"/>
    </row>
    <row r="192" spans="15:22" x14ac:dyDescent="0.2">
      <c r="O192" s="8"/>
      <c r="P192" s="8"/>
      <c r="Q192" s="8"/>
      <c r="R192" s="8"/>
      <c r="S192" s="8"/>
      <c r="T192" s="8"/>
      <c r="U192" s="8"/>
      <c r="V192" s="8"/>
    </row>
    <row r="193" spans="15:22" x14ac:dyDescent="0.2">
      <c r="O193" s="8"/>
      <c r="P193" s="8"/>
      <c r="Q193" s="8"/>
      <c r="R193" s="8"/>
      <c r="S193" s="8"/>
      <c r="T193" s="8"/>
      <c r="U193" s="8"/>
      <c r="V193" s="8"/>
    </row>
    <row r="194" spans="15:22" x14ac:dyDescent="0.2">
      <c r="O194" s="8"/>
      <c r="P194" s="8"/>
      <c r="Q194" s="8"/>
      <c r="R194" s="8"/>
      <c r="S194" s="8"/>
      <c r="T194" s="8"/>
      <c r="U194" s="8"/>
      <c r="V194" s="8"/>
    </row>
    <row r="195" spans="15:22" x14ac:dyDescent="0.2">
      <c r="O195" s="8"/>
      <c r="P195" s="8"/>
      <c r="Q195" s="8"/>
      <c r="R195" s="8"/>
      <c r="S195" s="8"/>
      <c r="T195" s="8"/>
      <c r="U195" s="8"/>
      <c r="V195" s="8"/>
    </row>
    <row r="196" spans="15:22" x14ac:dyDescent="0.2">
      <c r="O196" s="8"/>
      <c r="P196" s="8"/>
      <c r="Q196" s="8"/>
      <c r="R196" s="8"/>
      <c r="S196" s="8"/>
      <c r="T196" s="8"/>
      <c r="U196" s="8"/>
      <c r="V196" s="8"/>
    </row>
    <row r="197" spans="15:22" x14ac:dyDescent="0.2">
      <c r="O197" s="8"/>
      <c r="P197" s="8"/>
      <c r="Q197" s="8"/>
      <c r="R197" s="8"/>
      <c r="S197" s="8"/>
      <c r="T197" s="8"/>
      <c r="U197" s="8"/>
      <c r="V197" s="8"/>
    </row>
    <row r="198" spans="15:22" x14ac:dyDescent="0.2">
      <c r="O198" s="8"/>
      <c r="P198" s="8"/>
      <c r="Q198" s="8"/>
      <c r="R198" s="8"/>
      <c r="S198" s="8"/>
      <c r="T198" s="8"/>
      <c r="U198" s="8"/>
      <c r="V198" s="8"/>
    </row>
    <row r="199" spans="15:22" x14ac:dyDescent="0.2">
      <c r="O199" s="8"/>
      <c r="P199" s="8"/>
      <c r="Q199" s="8"/>
      <c r="R199" s="8"/>
      <c r="S199" s="8"/>
      <c r="T199" s="8"/>
      <c r="U199" s="8"/>
      <c r="V199" s="8"/>
    </row>
    <row r="200" spans="15:22" x14ac:dyDescent="0.2">
      <c r="O200" s="8"/>
      <c r="P200" s="8"/>
      <c r="Q200" s="8"/>
      <c r="R200" s="8"/>
      <c r="S200" s="8"/>
      <c r="T200" s="8"/>
      <c r="U200" s="8"/>
      <c r="V200" s="8"/>
    </row>
    <row r="201" spans="15:22" x14ac:dyDescent="0.2">
      <c r="O201" s="8"/>
      <c r="P201" s="8"/>
      <c r="Q201" s="8"/>
      <c r="R201" s="8"/>
      <c r="S201" s="8"/>
      <c r="T201" s="8"/>
      <c r="U201" s="8"/>
      <c r="V201" s="8"/>
    </row>
    <row r="202" spans="15:22" x14ac:dyDescent="0.2">
      <c r="O202" s="8"/>
      <c r="P202" s="8"/>
      <c r="Q202" s="8"/>
      <c r="R202" s="8"/>
      <c r="S202" s="8"/>
      <c r="T202" s="8"/>
      <c r="U202" s="8"/>
      <c r="V202" s="8"/>
    </row>
    <row r="203" spans="15:22" x14ac:dyDescent="0.2">
      <c r="O203" s="8"/>
      <c r="P203" s="8"/>
      <c r="Q203" s="8"/>
      <c r="R203" s="8"/>
      <c r="S203" s="8"/>
      <c r="T203" s="8"/>
      <c r="U203" s="8"/>
      <c r="V203" s="8"/>
    </row>
    <row r="204" spans="15:22" x14ac:dyDescent="0.2">
      <c r="O204" s="8"/>
      <c r="P204" s="8"/>
      <c r="Q204" s="8"/>
      <c r="R204" s="8"/>
      <c r="S204" s="8"/>
      <c r="T204" s="8"/>
      <c r="U204" s="8"/>
      <c r="V204" s="8"/>
    </row>
    <row r="205" spans="15:22" x14ac:dyDescent="0.2">
      <c r="O205" s="8"/>
      <c r="P205" s="8"/>
      <c r="Q205" s="8"/>
      <c r="R205" s="8"/>
      <c r="S205" s="8"/>
      <c r="T205" s="8"/>
      <c r="U205" s="8"/>
      <c r="V205" s="8"/>
    </row>
    <row r="206" spans="15:22" x14ac:dyDescent="0.2">
      <c r="O206" s="8"/>
      <c r="P206" s="8"/>
      <c r="Q206" s="8"/>
      <c r="R206" s="8"/>
      <c r="S206" s="8"/>
      <c r="T206" s="8"/>
      <c r="U206" s="8"/>
      <c r="V206" s="8"/>
    </row>
    <row r="207" spans="15:22" x14ac:dyDescent="0.2">
      <c r="O207" s="8"/>
      <c r="P207" s="8"/>
      <c r="Q207" s="8"/>
      <c r="R207" s="8"/>
      <c r="S207" s="8"/>
      <c r="T207" s="8"/>
      <c r="U207" s="8"/>
      <c r="V207" s="8"/>
    </row>
    <row r="208" spans="15:22" x14ac:dyDescent="0.2">
      <c r="O208" s="8"/>
      <c r="P208" s="8"/>
      <c r="Q208" s="8"/>
      <c r="R208" s="8"/>
      <c r="S208" s="8"/>
      <c r="T208" s="8"/>
      <c r="U208" s="8"/>
      <c r="V208" s="8"/>
    </row>
    <row r="209" spans="15:22" x14ac:dyDescent="0.2">
      <c r="O209" s="8"/>
      <c r="P209" s="8"/>
      <c r="Q209" s="8"/>
      <c r="R209" s="8"/>
      <c r="S209" s="8"/>
      <c r="T209" s="8"/>
      <c r="U209" s="8"/>
      <c r="V209" s="8"/>
    </row>
    <row r="210" spans="15:22" x14ac:dyDescent="0.2">
      <c r="O210" s="8"/>
      <c r="P210" s="8"/>
      <c r="Q210" s="8"/>
      <c r="R210" s="8"/>
      <c r="S210" s="8"/>
      <c r="T210" s="8"/>
      <c r="U210" s="8"/>
      <c r="V210" s="8"/>
    </row>
    <row r="211" spans="15:22" x14ac:dyDescent="0.2">
      <c r="O211" s="8"/>
      <c r="P211" s="8"/>
      <c r="Q211" s="8"/>
      <c r="R211" s="8"/>
      <c r="S211" s="8"/>
      <c r="T211" s="8"/>
      <c r="U211" s="8"/>
      <c r="V211" s="8"/>
    </row>
    <row r="212" spans="15:22" x14ac:dyDescent="0.2">
      <c r="O212" s="8"/>
      <c r="P212" s="8"/>
      <c r="Q212" s="8"/>
      <c r="R212" s="8"/>
      <c r="S212" s="8"/>
      <c r="T212" s="8"/>
      <c r="U212" s="8"/>
      <c r="V212" s="8"/>
    </row>
    <row r="213" spans="15:22" x14ac:dyDescent="0.2">
      <c r="O213" s="8"/>
      <c r="P213" s="8"/>
      <c r="Q213" s="8"/>
      <c r="R213" s="8"/>
      <c r="S213" s="8"/>
      <c r="T213" s="8"/>
      <c r="U213" s="8"/>
      <c r="V213" s="8"/>
    </row>
    <row r="214" spans="15:22" x14ac:dyDescent="0.2">
      <c r="O214" s="8"/>
      <c r="P214" s="8"/>
      <c r="Q214" s="8"/>
      <c r="R214" s="8"/>
      <c r="S214" s="8"/>
      <c r="T214" s="8"/>
      <c r="U214" s="8"/>
      <c r="V214" s="8"/>
    </row>
    <row r="215" spans="15:22" x14ac:dyDescent="0.2">
      <c r="O215" s="8"/>
      <c r="P215" s="8"/>
      <c r="Q215" s="8"/>
      <c r="R215" s="8"/>
      <c r="S215" s="8"/>
      <c r="T215" s="8"/>
      <c r="U215" s="8"/>
      <c r="V215" s="8"/>
    </row>
    <row r="216" spans="15:22" x14ac:dyDescent="0.2">
      <c r="O216" s="8"/>
      <c r="P216" s="8"/>
      <c r="Q216" s="8"/>
      <c r="R216" s="8"/>
      <c r="S216" s="8"/>
      <c r="T216" s="8"/>
      <c r="U216" s="8"/>
      <c r="V216" s="8"/>
    </row>
    <row r="217" spans="15:22" x14ac:dyDescent="0.2">
      <c r="O217" s="8"/>
      <c r="P217" s="8"/>
      <c r="Q217" s="8"/>
      <c r="R217" s="8"/>
      <c r="S217" s="8"/>
      <c r="T217" s="8"/>
      <c r="U217" s="8"/>
      <c r="V217" s="8"/>
    </row>
    <row r="218" spans="15:22" x14ac:dyDescent="0.2">
      <c r="O218" s="8"/>
      <c r="P218" s="8"/>
      <c r="Q218" s="8"/>
      <c r="R218" s="8"/>
      <c r="S218" s="8"/>
      <c r="T218" s="8"/>
      <c r="U218" s="8"/>
      <c r="V218" s="8"/>
    </row>
    <row r="219" spans="15:22" x14ac:dyDescent="0.2">
      <c r="O219" s="8"/>
      <c r="P219" s="8"/>
      <c r="Q219" s="8"/>
      <c r="R219" s="8"/>
      <c r="S219" s="8"/>
      <c r="T219" s="8"/>
      <c r="U219" s="8"/>
      <c r="V219" s="8"/>
    </row>
    <row r="220" spans="15:22" x14ac:dyDescent="0.2">
      <c r="O220" s="8"/>
      <c r="P220" s="8"/>
      <c r="Q220" s="8"/>
      <c r="R220" s="8"/>
      <c r="S220" s="8"/>
      <c r="T220" s="8"/>
      <c r="U220" s="8"/>
      <c r="V220" s="8"/>
    </row>
    <row r="221" spans="15:22" x14ac:dyDescent="0.2">
      <c r="O221" s="8"/>
      <c r="P221" s="8"/>
      <c r="Q221" s="8"/>
      <c r="R221" s="8"/>
      <c r="S221" s="8"/>
      <c r="T221" s="8"/>
      <c r="U221" s="8"/>
      <c r="V221" s="8"/>
    </row>
    <row r="222" spans="15:22" x14ac:dyDescent="0.2">
      <c r="O222" s="8"/>
      <c r="P222" s="8"/>
      <c r="Q222" s="8"/>
      <c r="R222" s="8"/>
      <c r="S222" s="8"/>
      <c r="T222" s="8"/>
      <c r="U222" s="8"/>
      <c r="V222" s="8"/>
    </row>
    <row r="223" spans="15:22" x14ac:dyDescent="0.2">
      <c r="O223" s="8"/>
      <c r="P223" s="8"/>
      <c r="Q223" s="8"/>
      <c r="R223" s="8"/>
      <c r="S223" s="8"/>
      <c r="T223" s="8"/>
      <c r="U223" s="8"/>
      <c r="V223" s="8"/>
    </row>
    <row r="224" spans="15:22" x14ac:dyDescent="0.2">
      <c r="O224" s="8"/>
      <c r="P224" s="8"/>
      <c r="Q224" s="8"/>
      <c r="R224" s="8"/>
      <c r="S224" s="8"/>
      <c r="T224" s="8"/>
      <c r="U224" s="8"/>
      <c r="V224" s="8"/>
    </row>
    <row r="225" spans="15:22" x14ac:dyDescent="0.2">
      <c r="O225" s="8"/>
      <c r="P225" s="8"/>
      <c r="Q225" s="8"/>
      <c r="R225" s="8"/>
      <c r="S225" s="8"/>
      <c r="T225" s="8"/>
      <c r="U225" s="8"/>
      <c r="V225" s="8"/>
    </row>
    <row r="226" spans="15:22" x14ac:dyDescent="0.2">
      <c r="O226" s="8"/>
      <c r="P226" s="8"/>
      <c r="Q226" s="8"/>
      <c r="R226" s="8"/>
      <c r="S226" s="8"/>
      <c r="T226" s="8"/>
      <c r="U226" s="8"/>
      <c r="V226" s="8"/>
    </row>
    <row r="227" spans="15:22" x14ac:dyDescent="0.2">
      <c r="O227" s="8"/>
      <c r="P227" s="8"/>
      <c r="Q227" s="8"/>
      <c r="R227" s="8"/>
      <c r="S227" s="8"/>
      <c r="T227" s="8"/>
      <c r="U227" s="8"/>
      <c r="V227" s="8"/>
    </row>
    <row r="228" spans="15:22" x14ac:dyDescent="0.2">
      <c r="O228" s="8"/>
      <c r="P228" s="8"/>
      <c r="Q228" s="8"/>
      <c r="R228" s="8"/>
      <c r="S228" s="8"/>
      <c r="T228" s="8"/>
      <c r="U228" s="8"/>
      <c r="V228" s="8"/>
    </row>
    <row r="229" spans="15:22" x14ac:dyDescent="0.2">
      <c r="O229" s="8"/>
      <c r="P229" s="8"/>
      <c r="Q229" s="8"/>
      <c r="R229" s="8"/>
      <c r="S229" s="8"/>
      <c r="T229" s="8"/>
      <c r="U229" s="8"/>
      <c r="V229" s="8"/>
    </row>
    <row r="230" spans="15:22" x14ac:dyDescent="0.2">
      <c r="O230" s="8"/>
      <c r="P230" s="8"/>
      <c r="Q230" s="8"/>
      <c r="R230" s="8"/>
      <c r="S230" s="8"/>
      <c r="T230" s="8"/>
      <c r="U230" s="8"/>
      <c r="V230" s="8"/>
    </row>
    <row r="231" spans="15:22" x14ac:dyDescent="0.2">
      <c r="O231" s="8"/>
      <c r="P231" s="8"/>
      <c r="Q231" s="8"/>
      <c r="R231" s="8"/>
      <c r="S231" s="8"/>
      <c r="T231" s="8"/>
      <c r="U231" s="8"/>
      <c r="V231" s="8"/>
    </row>
    <row r="232" spans="15:22" x14ac:dyDescent="0.2">
      <c r="O232" s="8"/>
      <c r="P232" s="8"/>
      <c r="Q232" s="8"/>
      <c r="R232" s="8"/>
      <c r="S232" s="8"/>
      <c r="T232" s="8"/>
      <c r="U232" s="8"/>
      <c r="V232" s="8"/>
    </row>
    <row r="233" spans="15:22" x14ac:dyDescent="0.2">
      <c r="O233" s="8"/>
      <c r="P233" s="8"/>
      <c r="Q233" s="8"/>
      <c r="R233" s="8"/>
      <c r="S233" s="8"/>
      <c r="T233" s="8"/>
      <c r="U233" s="8"/>
      <c r="V233" s="8"/>
    </row>
    <row r="234" spans="15:22" x14ac:dyDescent="0.2">
      <c r="O234" s="8"/>
      <c r="P234" s="8"/>
      <c r="Q234" s="8"/>
      <c r="R234" s="8"/>
      <c r="S234" s="8"/>
      <c r="T234" s="8"/>
      <c r="U234" s="8"/>
      <c r="V234" s="8"/>
    </row>
    <row r="235" spans="15:22" x14ac:dyDescent="0.2">
      <c r="O235" s="8"/>
      <c r="P235" s="8"/>
      <c r="Q235" s="8"/>
      <c r="R235" s="8"/>
      <c r="S235" s="8"/>
      <c r="T235" s="8"/>
      <c r="U235" s="8"/>
      <c r="V235" s="8"/>
    </row>
    <row r="236" spans="15:22" x14ac:dyDescent="0.2">
      <c r="O236" s="8"/>
      <c r="P236" s="8"/>
      <c r="Q236" s="8"/>
      <c r="R236" s="8"/>
      <c r="S236" s="8"/>
      <c r="T236" s="8"/>
      <c r="U236" s="8"/>
      <c r="V236" s="8"/>
    </row>
    <row r="237" spans="15:22" x14ac:dyDescent="0.2">
      <c r="O237" s="8"/>
      <c r="P237" s="8"/>
      <c r="Q237" s="8"/>
      <c r="R237" s="8"/>
      <c r="S237" s="8"/>
      <c r="T237" s="8"/>
      <c r="U237" s="8"/>
      <c r="V237" s="8"/>
    </row>
    <row r="238" spans="15:22" x14ac:dyDescent="0.2">
      <c r="O238" s="8"/>
      <c r="P238" s="8"/>
      <c r="Q238" s="8"/>
      <c r="R238" s="8"/>
      <c r="S238" s="8"/>
      <c r="T238" s="8"/>
      <c r="U238" s="8"/>
      <c r="V238" s="8"/>
    </row>
    <row r="239" spans="15:22" x14ac:dyDescent="0.2">
      <c r="O239" s="8"/>
      <c r="P239" s="8"/>
      <c r="Q239" s="8"/>
      <c r="R239" s="8"/>
      <c r="S239" s="8"/>
      <c r="T239" s="8"/>
      <c r="U239" s="8"/>
      <c r="V239" s="8"/>
    </row>
    <row r="240" spans="15:22" x14ac:dyDescent="0.2">
      <c r="O240" s="8"/>
      <c r="P240" s="8"/>
      <c r="Q240" s="8"/>
      <c r="R240" s="8"/>
      <c r="S240" s="8"/>
      <c r="T240" s="8"/>
      <c r="U240" s="8"/>
      <c r="V240" s="8"/>
    </row>
    <row r="241" spans="15:22" x14ac:dyDescent="0.2">
      <c r="O241" s="8"/>
      <c r="P241" s="8"/>
      <c r="Q241" s="8"/>
      <c r="R241" s="8"/>
      <c r="S241" s="8"/>
      <c r="T241" s="8"/>
      <c r="U241" s="8"/>
      <c r="V241" s="8"/>
    </row>
    <row r="242" spans="15:22" x14ac:dyDescent="0.2">
      <c r="O242" s="8"/>
      <c r="P242" s="8"/>
      <c r="Q242" s="8"/>
      <c r="R242" s="8"/>
      <c r="S242" s="8"/>
      <c r="T242" s="8"/>
      <c r="U242" s="8"/>
      <c r="V242" s="8"/>
    </row>
    <row r="243" spans="15:22" x14ac:dyDescent="0.2">
      <c r="O243" s="8"/>
      <c r="P243" s="8"/>
      <c r="Q243" s="8"/>
      <c r="R243" s="8"/>
      <c r="S243" s="8"/>
      <c r="T243" s="8"/>
      <c r="U243" s="8"/>
      <c r="V243" s="8"/>
    </row>
    <row r="244" spans="15:22" x14ac:dyDescent="0.2">
      <c r="O244" s="8"/>
      <c r="P244" s="8"/>
      <c r="Q244" s="8"/>
      <c r="R244" s="8"/>
      <c r="S244" s="8"/>
      <c r="T244" s="8"/>
      <c r="U244" s="8"/>
      <c r="V244" s="8"/>
    </row>
    <row r="245" spans="15:22" x14ac:dyDescent="0.2">
      <c r="O245" s="8"/>
      <c r="P245" s="8"/>
      <c r="Q245" s="8"/>
      <c r="R245" s="8"/>
      <c r="S245" s="8"/>
      <c r="T245" s="8"/>
      <c r="U245" s="8"/>
      <c r="V245" s="8"/>
    </row>
    <row r="246" spans="15:22" x14ac:dyDescent="0.2">
      <c r="O246" s="8"/>
      <c r="P246" s="8"/>
      <c r="Q246" s="8"/>
      <c r="R246" s="8"/>
      <c r="S246" s="8"/>
      <c r="T246" s="8"/>
      <c r="U246" s="8"/>
      <c r="V246" s="8"/>
    </row>
    <row r="247" spans="15:22" x14ac:dyDescent="0.2">
      <c r="O247" s="8"/>
      <c r="P247" s="8"/>
      <c r="Q247" s="8"/>
      <c r="R247" s="8"/>
      <c r="S247" s="8"/>
      <c r="T247" s="8"/>
      <c r="U247" s="8"/>
      <c r="V247" s="8"/>
    </row>
    <row r="248" spans="15:22" x14ac:dyDescent="0.2">
      <c r="O248" s="8"/>
      <c r="P248" s="8"/>
      <c r="Q248" s="8"/>
      <c r="R248" s="8"/>
      <c r="S248" s="8"/>
      <c r="T248" s="8"/>
      <c r="U248" s="8"/>
      <c r="V248" s="8"/>
    </row>
    <row r="249" spans="15:22" x14ac:dyDescent="0.2">
      <c r="O249" s="8"/>
      <c r="P249" s="8"/>
      <c r="Q249" s="8"/>
      <c r="R249" s="8"/>
      <c r="S249" s="8"/>
      <c r="T249" s="8"/>
      <c r="U249" s="8"/>
      <c r="V249" s="8"/>
    </row>
    <row r="250" spans="15:22" x14ac:dyDescent="0.2">
      <c r="O250" s="8"/>
      <c r="P250" s="8"/>
      <c r="Q250" s="8"/>
      <c r="R250" s="8"/>
      <c r="S250" s="8"/>
      <c r="T250" s="8"/>
      <c r="U250" s="8"/>
      <c r="V250" s="8"/>
    </row>
    <row r="251" spans="15:22" x14ac:dyDescent="0.2">
      <c r="O251" s="8"/>
      <c r="P251" s="8"/>
      <c r="Q251" s="8"/>
      <c r="R251" s="8"/>
      <c r="S251" s="8"/>
      <c r="T251" s="8"/>
      <c r="U251" s="8"/>
      <c r="V251" s="8"/>
    </row>
    <row r="252" spans="15:22" x14ac:dyDescent="0.2">
      <c r="O252" s="8"/>
      <c r="P252" s="8"/>
      <c r="Q252" s="8"/>
      <c r="R252" s="8"/>
      <c r="S252" s="8"/>
      <c r="T252" s="8"/>
      <c r="U252" s="8"/>
      <c r="V252" s="8"/>
    </row>
    <row r="253" spans="15:22" x14ac:dyDescent="0.2">
      <c r="O253" s="8"/>
      <c r="P253" s="8"/>
      <c r="Q253" s="8"/>
      <c r="R253" s="8"/>
      <c r="S253" s="8"/>
      <c r="T253" s="8"/>
      <c r="U253" s="8"/>
      <c r="V253" s="8"/>
    </row>
    <row r="254" spans="15:22" x14ac:dyDescent="0.2">
      <c r="O254" s="8"/>
      <c r="P254" s="8"/>
      <c r="Q254" s="8"/>
      <c r="R254" s="8"/>
      <c r="S254" s="8"/>
      <c r="T254" s="8"/>
      <c r="U254" s="8"/>
      <c r="V254" s="8"/>
    </row>
    <row r="255" spans="15:22" x14ac:dyDescent="0.2">
      <c r="O255" s="8"/>
      <c r="P255" s="8"/>
      <c r="Q255" s="8"/>
      <c r="R255" s="8"/>
      <c r="S255" s="8"/>
      <c r="T255" s="8"/>
      <c r="U255" s="8"/>
      <c r="V255" s="8"/>
    </row>
    <row r="256" spans="15:22" x14ac:dyDescent="0.2">
      <c r="O256" s="8"/>
      <c r="P256" s="8"/>
      <c r="Q256" s="8"/>
      <c r="R256" s="8"/>
      <c r="S256" s="8"/>
      <c r="T256" s="8"/>
      <c r="U256" s="8"/>
      <c r="V256" s="8"/>
    </row>
    <row r="257" spans="15:22" x14ac:dyDescent="0.2">
      <c r="O257" s="8"/>
      <c r="P257" s="8"/>
      <c r="Q257" s="8"/>
      <c r="R257" s="8"/>
      <c r="S257" s="8"/>
      <c r="T257" s="8"/>
      <c r="U257" s="8"/>
      <c r="V257" s="8"/>
    </row>
    <row r="258" spans="15:22" x14ac:dyDescent="0.2">
      <c r="O258" s="8"/>
      <c r="P258" s="8"/>
      <c r="Q258" s="8"/>
      <c r="R258" s="8"/>
      <c r="S258" s="8"/>
      <c r="T258" s="8"/>
      <c r="U258" s="8"/>
      <c r="V258" s="8"/>
    </row>
    <row r="259" spans="15:22" x14ac:dyDescent="0.2">
      <c r="O259" s="8"/>
      <c r="P259" s="8"/>
      <c r="Q259" s="8"/>
      <c r="R259" s="8"/>
      <c r="S259" s="8"/>
      <c r="T259" s="8"/>
      <c r="U259" s="8"/>
      <c r="V259" s="8"/>
    </row>
    <row r="260" spans="15:22" x14ac:dyDescent="0.2">
      <c r="O260" s="8"/>
      <c r="P260" s="8"/>
      <c r="Q260" s="8"/>
      <c r="R260" s="8"/>
      <c r="S260" s="8"/>
      <c r="T260" s="8"/>
      <c r="U260" s="8"/>
      <c r="V260" s="8"/>
    </row>
    <row r="261" spans="15:22" x14ac:dyDescent="0.2">
      <c r="O261" s="8"/>
      <c r="P261" s="8"/>
      <c r="Q261" s="8"/>
      <c r="R261" s="8"/>
      <c r="S261" s="8"/>
      <c r="T261" s="8"/>
      <c r="U261" s="8"/>
      <c r="V261" s="8"/>
    </row>
    <row r="262" spans="15:22" x14ac:dyDescent="0.2">
      <c r="O262" s="8"/>
      <c r="P262" s="8"/>
      <c r="Q262" s="8"/>
      <c r="R262" s="8"/>
      <c r="S262" s="8"/>
      <c r="T262" s="8"/>
      <c r="U262" s="8"/>
      <c r="V262" s="8"/>
    </row>
    <row r="263" spans="15:22" x14ac:dyDescent="0.2">
      <c r="O263" s="8"/>
      <c r="P263" s="8"/>
      <c r="Q263" s="8"/>
      <c r="R263" s="8"/>
      <c r="S263" s="8"/>
      <c r="T263" s="8"/>
      <c r="U263" s="8"/>
      <c r="V263" s="8"/>
    </row>
    <row r="264" spans="15:22" x14ac:dyDescent="0.2">
      <c r="O264" s="8"/>
      <c r="P264" s="8"/>
      <c r="Q264" s="8"/>
      <c r="R264" s="8"/>
      <c r="S264" s="8"/>
      <c r="T264" s="8"/>
      <c r="U264" s="8"/>
      <c r="V264" s="8"/>
    </row>
    <row r="265" spans="15:22" x14ac:dyDescent="0.2">
      <c r="O265" s="8"/>
      <c r="P265" s="8"/>
      <c r="Q265" s="8"/>
      <c r="R265" s="8"/>
      <c r="S265" s="8"/>
      <c r="T265" s="8"/>
      <c r="U265" s="8"/>
      <c r="V265" s="8"/>
    </row>
    <row r="266" spans="15:22" x14ac:dyDescent="0.2">
      <c r="O266" s="8"/>
      <c r="P266" s="8"/>
      <c r="Q266" s="8"/>
      <c r="R266" s="8"/>
      <c r="S266" s="8"/>
      <c r="T266" s="8"/>
      <c r="U266" s="8"/>
      <c r="V266" s="8"/>
    </row>
  </sheetData>
  <mergeCells count="5">
    <mergeCell ref="V23:AB23"/>
    <mergeCell ref="B2:H2"/>
    <mergeCell ref="J2:L2"/>
    <mergeCell ref="B11:H11"/>
    <mergeCell ref="N23:T23"/>
  </mergeCells>
  <phoneticPr fontId="10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27</vt:i4>
      </vt:variant>
    </vt:vector>
  </HeadingPairs>
  <TitlesOfParts>
    <vt:vector size="30" baseType="lpstr">
      <vt:lpstr>SRA</vt:lpstr>
      <vt:lpstr>Version</vt:lpstr>
      <vt:lpstr>Calc</vt:lpstr>
      <vt:lpstr>NB</vt:lpstr>
      <vt:lpstr>NS</vt:lpstr>
      <vt:lpstr>NTa</vt:lpstr>
      <vt:lpstr>Ntota</vt:lpstr>
      <vt:lpstr>SRA!Print_Area</vt:lpstr>
      <vt:lpstr>SlopeB</vt:lpstr>
      <vt:lpstr>SlopeS</vt:lpstr>
      <vt:lpstr>SlopeTa</vt:lpstr>
      <vt:lpstr>SumXB</vt:lpstr>
      <vt:lpstr>SumXBXB</vt:lpstr>
      <vt:lpstr>SumXBY</vt:lpstr>
      <vt:lpstr>SumXS</vt:lpstr>
      <vt:lpstr>SumXSXB</vt:lpstr>
      <vt:lpstr>SumXSXS</vt:lpstr>
      <vt:lpstr>SumXSXTa</vt:lpstr>
      <vt:lpstr>SumXSY</vt:lpstr>
      <vt:lpstr>SumXTa</vt:lpstr>
      <vt:lpstr>SumXTaXB</vt:lpstr>
      <vt:lpstr>SumXTaXTa</vt:lpstr>
      <vt:lpstr>SumXTaY</vt:lpstr>
      <vt:lpstr>SumYB</vt:lpstr>
      <vt:lpstr>SumYS</vt:lpstr>
      <vt:lpstr>SumYTa</vt:lpstr>
      <vt:lpstr>SumYtota</vt:lpstr>
      <vt:lpstr>Sytota</vt:lpstr>
      <vt:lpstr>Xs</vt:lpstr>
      <vt:lpstr>Xta</vt:lpstr>
    </vt:vector>
  </TitlesOfParts>
  <Company>CLB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SRA six replicates</dc:title>
  <dc:creator>Ed Nieuwenhuys</dc:creator>
  <cp:keywords>SRA</cp:keywords>
  <cp:lastModifiedBy>Ed Nieuwenhuys</cp:lastModifiedBy>
  <cp:lastPrinted>2009-03-16T14:59:23Z</cp:lastPrinted>
  <dcterms:created xsi:type="dcterms:W3CDTF">1999-11-23T14:32:48Z</dcterms:created>
  <dcterms:modified xsi:type="dcterms:W3CDTF">2021-08-16T13:30:08Z</dcterms:modified>
</cp:coreProperties>
</file>