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theme/themeOverride6.xml" ContentType="application/vnd.openxmlformats-officedocument.themeOverride+xml"/>
  <Override PartName="/xl/charts/chart8.xml" ContentType="application/vnd.openxmlformats-officedocument.drawingml.chart+xml"/>
  <Override PartName="/xl/theme/themeOverride7.xml" ContentType="application/vnd.openxmlformats-officedocument.themeOverride+xml"/>
  <Override PartName="/xl/charts/chart9.xml" ContentType="application/vnd.openxmlformats-officedocument.drawingml.chart+xml"/>
  <Override PartName="/xl/theme/themeOverride8.xml" ContentType="application/vnd.openxmlformats-officedocument.themeOverride+xml"/>
  <Override PartName="/xl/charts/chart10.xml" ContentType="application/vnd.openxmlformats-officedocument.drawingml.chart+xml"/>
  <Override PartName="/xl/theme/themeOverride9.xml" ContentType="application/vnd.openxmlformats-officedocument.themeOverride+xml"/>
  <Override PartName="/xl/charts/chart11.xml" ContentType="application/vnd.openxmlformats-officedocument.drawingml.chart+xml"/>
  <Override PartName="/xl/theme/themeOverride10.xml" ContentType="application/vnd.openxmlformats-officedocument.themeOverride+xml"/>
  <Override PartName="/xl/charts/chart12.xml" ContentType="application/vnd.openxmlformats-officedocument.drawingml.chart+xml"/>
  <Override PartName="/xl/theme/themeOverride11.xml" ContentType="application/vnd.openxmlformats-officedocument.themeOverride+xml"/>
  <Override PartName="/xl/charts/chart13.xml" ContentType="application/vnd.openxmlformats-officedocument.drawingml.chart+xml"/>
  <Override PartName="/xl/theme/themeOverride12.xml" ContentType="application/vnd.openxmlformats-officedocument.themeOverride+xml"/>
  <Override PartName="/xl/charts/chart14.xml" ContentType="application/vnd.openxmlformats-officedocument.drawingml.chart+xml"/>
  <Override PartName="/xl/theme/themeOverride13.xml" ContentType="application/vnd.openxmlformats-officedocument.themeOverride+xml"/>
  <Override PartName="/xl/charts/chart15.xml" ContentType="application/vnd.openxmlformats-officedocument.drawingml.chart+xml"/>
  <Override PartName="/xl/theme/themeOverride14.xml" ContentType="application/vnd.openxmlformats-officedocument.themeOverride+xml"/>
  <Override PartName="/xl/charts/chart16.xml" ContentType="application/vnd.openxmlformats-officedocument.drawingml.chart+xml"/>
  <Override PartName="/xl/theme/themeOverride15.xml" ContentType="application/vnd.openxmlformats-officedocument.themeOverride+xml"/>
  <Override PartName="/xl/charts/chart17.xml" ContentType="application/vnd.openxmlformats-officedocument.drawingml.chart+xml"/>
  <Override PartName="/xl/theme/themeOverride16.xml" ContentType="application/vnd.openxmlformats-officedocument.themeOverride+xml"/>
  <Override PartName="/xl/charts/chart18.xml" ContentType="application/vnd.openxmlformats-officedocument.drawingml.chart+xml"/>
  <Override PartName="/xl/theme/themeOverride17.xml" ContentType="application/vnd.openxmlformats-officedocument.themeOverride+xml"/>
  <Override PartName="/xl/charts/chart19.xml" ContentType="application/vnd.openxmlformats-officedocument.drawingml.chart+xml"/>
  <Override PartName="/xl/theme/themeOverride18.xml" ContentType="application/vnd.openxmlformats-officedocument.themeOverride+xml"/>
  <Override PartName="/xl/charts/chart20.xml" ContentType="application/vnd.openxmlformats-officedocument.drawingml.chart+xml"/>
  <Override PartName="/xl/theme/themeOverride19.xml" ContentType="application/vnd.openxmlformats-officedocument.themeOverride+xml"/>
  <Override PartName="/xl/charts/chart21.xml" ContentType="application/vnd.openxmlformats-officedocument.drawingml.chart+xml"/>
  <Override PartName="/xl/theme/themeOverride20.xml" ContentType="application/vnd.openxmlformats-officedocument.themeOverride+xml"/>
  <Override PartName="/xl/charts/chart22.xml" ContentType="application/vnd.openxmlformats-officedocument.drawingml.chart+xml"/>
  <Override PartName="/xl/theme/themeOverride21.xml" ContentType="application/vnd.openxmlformats-officedocument.themeOverride+xml"/>
  <Override PartName="/xl/charts/chart23.xml" ContentType="application/vnd.openxmlformats-officedocument.drawingml.chart+xml"/>
  <Override PartName="/xl/theme/themeOverride22.xml" ContentType="application/vnd.openxmlformats-officedocument.themeOverride+xml"/>
  <Override PartName="/xl/charts/chart24.xml" ContentType="application/vnd.openxmlformats-officedocument.drawingml.chart+xml"/>
  <Override PartName="/xl/theme/themeOverride23.xml" ContentType="application/vnd.openxmlformats-officedocument.themeOverride+xml"/>
  <Override PartName="/xl/charts/chart25.xml" ContentType="application/vnd.openxmlformats-officedocument.drawingml.chart+xml"/>
  <Override PartName="/xl/theme/themeOverride24.xml" ContentType="application/vnd.openxmlformats-officedocument.themeOverride+xml"/>
  <Override PartName="/xl/charts/chart26.xml" ContentType="application/vnd.openxmlformats-officedocument.drawingml.chart+xml"/>
  <Override PartName="/xl/theme/themeOverride25.xml" ContentType="application/vnd.openxmlformats-officedocument.themeOverride+xml"/>
  <Override PartName="/xl/charts/chart27.xml" ContentType="application/vnd.openxmlformats-officedocument.drawingml.chart+xml"/>
  <Override PartName="/xl/theme/themeOverride26.xml" ContentType="application/vnd.openxmlformats-officedocument.themeOverride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harts/chart28.xml" ContentType="application/vnd.openxmlformats-officedocument.drawingml.chart+xml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harts/chart29.xml" ContentType="application/vnd.openxmlformats-officedocument.drawingml.chart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harts/chart30.xml" ContentType="application/vnd.openxmlformats-officedocument.drawingml.chart+xml"/>
  <Override PartName="/xl/drawings/drawing8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harts/chart31.xml" ContentType="application/vnd.openxmlformats-officedocument.drawingml.chart+xml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harts/chart32.xml" ContentType="application/vnd.openxmlformats-officedocument.drawingml.chart+xml"/>
  <Override PartName="/xl/drawings/drawing10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harts/chart33.xml" ContentType="application/vnd.openxmlformats-officedocument.drawingml.chart+xml"/>
  <Override PartName="/xl/drawings/drawing11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harts/chart34.xml" ContentType="application/vnd.openxmlformats-officedocument.drawingml.chart+xml"/>
  <Override PartName="/xl/drawings/drawing12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harts/chart35.xml" ContentType="application/vnd.openxmlformats-officedocument.drawingml.chart+xml"/>
  <Override PartName="/xl/drawings/drawing13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harts/chart36.xml" ContentType="application/vnd.openxmlformats-officedocument.drawingml.chart+xml"/>
  <Override PartName="/xl/drawings/drawing14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harts/chart37.xml" ContentType="application/vnd.openxmlformats-officedocument.drawingml.chart+xml"/>
  <Override PartName="/xl/drawings/drawing15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38.xml" ContentType="application/vnd.openxmlformats-officedocument.drawingml.chart+xml"/>
  <Override PartName="/xl/drawings/drawing16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harts/chart39.xml" ContentType="application/vnd.openxmlformats-officedocument.drawingml.chart+xml"/>
  <Override PartName="/xl/drawings/drawing17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harts/chart4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:\DataEd\My Documents\Files 2018\PLA met Dixon outlier\"/>
    </mc:Choice>
  </mc:AlternateContent>
  <bookViews>
    <workbookView xWindow="390" yWindow="105" windowWidth="15480" windowHeight="11640" tabRatio="897" activeTab="1"/>
  </bookViews>
  <sheets>
    <sheet name="Import" sheetId="6" r:id="rId1"/>
    <sheet name="Datasheet" sheetId="7" r:id="rId2"/>
    <sheet name="Optimize" sheetId="34" r:id="rId3"/>
    <sheet name="Graphs" sheetId="21" r:id="rId4"/>
    <sheet name="Sample1" sheetId="3" r:id="rId5"/>
    <sheet name="Sample2" sheetId="22" r:id="rId6"/>
    <sheet name="Sample3" sheetId="23" r:id="rId7"/>
    <sheet name="Sample4" sheetId="24" r:id="rId8"/>
    <sheet name="Sample5" sheetId="25" r:id="rId9"/>
    <sheet name="Sample6" sheetId="26" r:id="rId10"/>
    <sheet name="Sample7" sheetId="27" r:id="rId11"/>
    <sheet name="Sample8" sheetId="28" r:id="rId12"/>
    <sheet name="Sample9" sheetId="29" r:id="rId13"/>
    <sheet name="Sample10" sheetId="30" r:id="rId14"/>
    <sheet name="Sample11" sheetId="31" r:id="rId15"/>
    <sheet name="Sample12" sheetId="32" r:id="rId16"/>
    <sheet name="Sample13" sheetId="33" r:id="rId17"/>
    <sheet name="Testset" sheetId="20" r:id="rId18"/>
  </sheets>
  <functionGroups builtInGroupCount="18"/>
  <definedNames>
    <definedName name="__123Graph_A" localSheetId="0" hidden="1">#REF!</definedName>
    <definedName name="__123Graph_A" localSheetId="4" hidden="1">Sample1!$AI$39:$AI$54</definedName>
    <definedName name="__123Graph_A" localSheetId="13" hidden="1">Sample10!$AI$39:$AI$54</definedName>
    <definedName name="__123Graph_A" localSheetId="14" hidden="1">Sample11!$AI$39:$AI$54</definedName>
    <definedName name="__123Graph_A" localSheetId="15" hidden="1">Sample12!$AI$39:$AI$54</definedName>
    <definedName name="__123Graph_A" localSheetId="16" hidden="1">Sample13!$AI$39:$AI$54</definedName>
    <definedName name="__123Graph_A" localSheetId="5" hidden="1">Sample2!$AI$39:$AI$54</definedName>
    <definedName name="__123Graph_A" localSheetId="6" hidden="1">Sample3!$AI$39:$AI$54</definedName>
    <definedName name="__123Graph_A" localSheetId="7" hidden="1">Sample4!$AI$39:$AI$54</definedName>
    <definedName name="__123Graph_A" localSheetId="8" hidden="1">Sample5!$AI$39:$AI$54</definedName>
    <definedName name="__123Graph_A" localSheetId="9" hidden="1">Sample6!$AI$39:$AI$54</definedName>
    <definedName name="__123Graph_A" localSheetId="10" hidden="1">Sample7!$AI$39:$AI$54</definedName>
    <definedName name="__123Graph_A" localSheetId="11" hidden="1">Sample8!$AI$39:$AI$54</definedName>
    <definedName name="__123Graph_A" localSheetId="12" hidden="1">Sample9!$AI$39:$AI$54</definedName>
    <definedName name="__123Graph_A" hidden="1">#REF!</definedName>
    <definedName name="__123Graph_AG1" localSheetId="0" hidden="1">#REF!</definedName>
    <definedName name="__123Graph_AG1" localSheetId="4" hidden="1">Sample1!$AI$39:$AI$54</definedName>
    <definedName name="__123Graph_AG1" localSheetId="13" hidden="1">Sample10!$AI$39:$AI$54</definedName>
    <definedName name="__123Graph_AG1" localSheetId="14" hidden="1">Sample11!$AI$39:$AI$54</definedName>
    <definedName name="__123Graph_AG1" localSheetId="15" hidden="1">Sample12!$AI$39:$AI$54</definedName>
    <definedName name="__123Graph_AG1" localSheetId="16" hidden="1">Sample13!$AI$39:$AI$54</definedName>
    <definedName name="__123Graph_AG1" localSheetId="5" hidden="1">Sample2!$AI$39:$AI$54</definedName>
    <definedName name="__123Graph_AG1" localSheetId="6" hidden="1">Sample3!$AI$39:$AI$54</definedName>
    <definedName name="__123Graph_AG1" localSheetId="7" hidden="1">Sample4!$AI$39:$AI$54</definedName>
    <definedName name="__123Graph_AG1" localSheetId="8" hidden="1">Sample5!$AI$39:$AI$54</definedName>
    <definedName name="__123Graph_AG1" localSheetId="9" hidden="1">Sample6!$AI$39:$AI$54</definedName>
    <definedName name="__123Graph_AG1" localSheetId="10" hidden="1">Sample7!$AI$39:$AI$54</definedName>
    <definedName name="__123Graph_AG1" localSheetId="11" hidden="1">Sample8!$AI$39:$AI$54</definedName>
    <definedName name="__123Graph_AG1" localSheetId="12" hidden="1">Sample9!$AI$39:$AI$54</definedName>
    <definedName name="__123Graph_AG1" hidden="1">#REF!</definedName>
    <definedName name="__123Graph_AG2" localSheetId="0" hidden="1">#REF!</definedName>
    <definedName name="__123Graph_AG2" localSheetId="4" hidden="1">Sample1!$AI$39:$AI$54</definedName>
    <definedName name="__123Graph_AG2" localSheetId="13" hidden="1">Sample10!$AI$39:$AI$54</definedName>
    <definedName name="__123Graph_AG2" localSheetId="14" hidden="1">Sample11!$AI$39:$AI$54</definedName>
    <definedName name="__123Graph_AG2" localSheetId="15" hidden="1">Sample12!$AI$39:$AI$54</definedName>
    <definedName name="__123Graph_AG2" localSheetId="16" hidden="1">Sample13!$AI$39:$AI$54</definedName>
    <definedName name="__123Graph_AG2" localSheetId="5" hidden="1">Sample2!$AI$39:$AI$54</definedName>
    <definedName name="__123Graph_AG2" localSheetId="6" hidden="1">Sample3!$AI$39:$AI$54</definedName>
    <definedName name="__123Graph_AG2" localSheetId="7" hidden="1">Sample4!$AI$39:$AI$54</definedName>
    <definedName name="__123Graph_AG2" localSheetId="8" hidden="1">Sample5!$AI$39:$AI$54</definedName>
    <definedName name="__123Graph_AG2" localSheetId="9" hidden="1">Sample6!$AI$39:$AI$54</definedName>
    <definedName name="__123Graph_AG2" localSheetId="10" hidden="1">Sample7!$AI$39:$AI$54</definedName>
    <definedName name="__123Graph_AG2" localSheetId="11" hidden="1">Sample8!$AI$39:$AI$54</definedName>
    <definedName name="__123Graph_AG2" localSheetId="12" hidden="1">Sample9!$AI$39:$AI$54</definedName>
    <definedName name="__123Graph_AG2" hidden="1">#REF!</definedName>
    <definedName name="__123Graph_B" localSheetId="0" hidden="1">#REF!</definedName>
    <definedName name="__123Graph_B" localSheetId="4" hidden="1">Sample1!$AJ$39:$AJ$68</definedName>
    <definedName name="__123Graph_B" localSheetId="13" hidden="1">Sample10!$AJ$39:$AJ$68</definedName>
    <definedName name="__123Graph_B" localSheetId="14" hidden="1">Sample11!$AJ$39:$AJ$68</definedName>
    <definedName name="__123Graph_B" localSheetId="15" hidden="1">Sample12!$AJ$39:$AJ$68</definedName>
    <definedName name="__123Graph_B" localSheetId="16" hidden="1">Sample13!$AJ$39:$AJ$68</definedName>
    <definedName name="__123Graph_B" localSheetId="5" hidden="1">Sample2!$AJ$39:$AJ$68</definedName>
    <definedName name="__123Graph_B" localSheetId="6" hidden="1">Sample3!$AJ$39:$AJ$68</definedName>
    <definedName name="__123Graph_B" localSheetId="7" hidden="1">Sample4!$AJ$39:$AJ$68</definedName>
    <definedName name="__123Graph_B" localSheetId="8" hidden="1">Sample5!$AJ$39:$AJ$68</definedName>
    <definedName name="__123Graph_B" localSheetId="9" hidden="1">Sample6!$AJ$39:$AJ$68</definedName>
    <definedName name="__123Graph_B" localSheetId="10" hidden="1">Sample7!$AJ$39:$AJ$68</definedName>
    <definedName name="__123Graph_B" localSheetId="11" hidden="1">Sample8!$AJ$39:$AJ$68</definedName>
    <definedName name="__123Graph_B" localSheetId="12" hidden="1">Sample9!$AJ$39:$AJ$68</definedName>
    <definedName name="__123Graph_B" hidden="1">#REF!</definedName>
    <definedName name="__123Graph_BG1" localSheetId="0" hidden="1">#REF!</definedName>
    <definedName name="__123Graph_BG1" localSheetId="4" hidden="1">Sample1!$AJ$39:$AJ$68</definedName>
    <definedName name="__123Graph_BG1" localSheetId="13" hidden="1">Sample10!$AJ$39:$AJ$68</definedName>
    <definedName name="__123Graph_BG1" localSheetId="14" hidden="1">Sample11!$AJ$39:$AJ$68</definedName>
    <definedName name="__123Graph_BG1" localSheetId="15" hidden="1">Sample12!$AJ$39:$AJ$68</definedName>
    <definedName name="__123Graph_BG1" localSheetId="16" hidden="1">Sample13!$AJ$39:$AJ$68</definedName>
    <definedName name="__123Graph_BG1" localSheetId="5" hidden="1">Sample2!$AJ$39:$AJ$68</definedName>
    <definedName name="__123Graph_BG1" localSheetId="6" hidden="1">Sample3!$AJ$39:$AJ$68</definedName>
    <definedName name="__123Graph_BG1" localSheetId="7" hidden="1">Sample4!$AJ$39:$AJ$68</definedName>
    <definedName name="__123Graph_BG1" localSheetId="8" hidden="1">Sample5!$AJ$39:$AJ$68</definedName>
    <definedName name="__123Graph_BG1" localSheetId="9" hidden="1">Sample6!$AJ$39:$AJ$68</definedName>
    <definedName name="__123Graph_BG1" localSheetId="10" hidden="1">Sample7!$AJ$39:$AJ$68</definedName>
    <definedName name="__123Graph_BG1" localSheetId="11" hidden="1">Sample8!$AJ$39:$AJ$68</definedName>
    <definedName name="__123Graph_BG1" localSheetId="12" hidden="1">Sample9!$AJ$39:$AJ$68</definedName>
    <definedName name="__123Graph_BG1" hidden="1">#REF!</definedName>
    <definedName name="__123Graph_BG2" localSheetId="0" hidden="1">#REF!</definedName>
    <definedName name="__123Graph_BG2" localSheetId="4" hidden="1">Sample1!$AJ$39:$AJ$68</definedName>
    <definedName name="__123Graph_BG2" localSheetId="13" hidden="1">Sample10!$AJ$39:$AJ$68</definedName>
    <definedName name="__123Graph_BG2" localSheetId="14" hidden="1">Sample11!$AJ$39:$AJ$68</definedName>
    <definedName name="__123Graph_BG2" localSheetId="15" hidden="1">Sample12!$AJ$39:$AJ$68</definedName>
    <definedName name="__123Graph_BG2" localSheetId="16" hidden="1">Sample13!$AJ$39:$AJ$68</definedName>
    <definedName name="__123Graph_BG2" localSheetId="5" hidden="1">Sample2!$AJ$39:$AJ$68</definedName>
    <definedName name="__123Graph_BG2" localSheetId="6" hidden="1">Sample3!$AJ$39:$AJ$68</definedName>
    <definedName name="__123Graph_BG2" localSheetId="7" hidden="1">Sample4!$AJ$39:$AJ$68</definedName>
    <definedName name="__123Graph_BG2" localSheetId="8" hidden="1">Sample5!$AJ$39:$AJ$68</definedName>
    <definedName name="__123Graph_BG2" localSheetId="9" hidden="1">Sample6!$AJ$39:$AJ$68</definedName>
    <definedName name="__123Graph_BG2" localSheetId="10" hidden="1">Sample7!$AJ$39:$AJ$68</definedName>
    <definedName name="__123Graph_BG2" localSheetId="11" hidden="1">Sample8!$AJ$39:$AJ$68</definedName>
    <definedName name="__123Graph_BG2" localSheetId="12" hidden="1">Sample9!$AJ$39:$AJ$68</definedName>
    <definedName name="__123Graph_BG2" hidden="1">#REF!</definedName>
    <definedName name="__123Graph_C" localSheetId="0" hidden="1">#REF!</definedName>
    <definedName name="__123Graph_C" localSheetId="4" hidden="1">Sample1!$AK$39:$AK$42</definedName>
    <definedName name="__123Graph_C" localSheetId="13" hidden="1">Sample10!$AK$39:$AK$42</definedName>
    <definedName name="__123Graph_C" localSheetId="14" hidden="1">Sample11!$AK$39:$AK$42</definedName>
    <definedName name="__123Graph_C" localSheetId="15" hidden="1">Sample12!$AK$39:$AK$42</definedName>
    <definedName name="__123Graph_C" localSheetId="16" hidden="1">Sample13!$AK$39:$AK$42</definedName>
    <definedName name="__123Graph_C" localSheetId="5" hidden="1">Sample2!$AK$39:$AK$42</definedName>
    <definedName name="__123Graph_C" localSheetId="6" hidden="1">Sample3!$AK$39:$AK$42</definedName>
    <definedName name="__123Graph_C" localSheetId="7" hidden="1">Sample4!$AK$39:$AK$42</definedName>
    <definedName name="__123Graph_C" localSheetId="8" hidden="1">Sample5!$AK$39:$AK$42</definedName>
    <definedName name="__123Graph_C" localSheetId="9" hidden="1">Sample6!$AK$39:$AK$42</definedName>
    <definedName name="__123Graph_C" localSheetId="10" hidden="1">Sample7!$AK$39:$AK$42</definedName>
    <definedName name="__123Graph_C" localSheetId="11" hidden="1">Sample8!$AK$39:$AK$42</definedName>
    <definedName name="__123Graph_C" localSheetId="12" hidden="1">Sample9!$AK$39:$AK$42</definedName>
    <definedName name="__123Graph_C" hidden="1">#REF!</definedName>
    <definedName name="__123Graph_CG1" localSheetId="0" hidden="1">#REF!</definedName>
    <definedName name="__123Graph_CG1" localSheetId="4" hidden="1">Sample1!$AK$39:$AK$42</definedName>
    <definedName name="__123Graph_CG1" localSheetId="13" hidden="1">Sample10!$AK$39:$AK$42</definedName>
    <definedName name="__123Graph_CG1" localSheetId="14" hidden="1">Sample11!$AK$39:$AK$42</definedName>
    <definedName name="__123Graph_CG1" localSheetId="15" hidden="1">Sample12!$AK$39:$AK$42</definedName>
    <definedName name="__123Graph_CG1" localSheetId="16" hidden="1">Sample13!$AK$39:$AK$42</definedName>
    <definedName name="__123Graph_CG1" localSheetId="5" hidden="1">Sample2!$AK$39:$AK$42</definedName>
    <definedName name="__123Graph_CG1" localSheetId="6" hidden="1">Sample3!$AK$39:$AK$42</definedName>
    <definedName name="__123Graph_CG1" localSheetId="7" hidden="1">Sample4!$AK$39:$AK$42</definedName>
    <definedName name="__123Graph_CG1" localSheetId="8" hidden="1">Sample5!$AK$39:$AK$42</definedName>
    <definedName name="__123Graph_CG1" localSheetId="9" hidden="1">Sample6!$AK$39:$AK$42</definedName>
    <definedName name="__123Graph_CG1" localSheetId="10" hidden="1">Sample7!$AK$39:$AK$42</definedName>
    <definedName name="__123Graph_CG1" localSheetId="11" hidden="1">Sample8!$AK$39:$AK$42</definedName>
    <definedName name="__123Graph_CG1" localSheetId="12" hidden="1">Sample9!$AK$39:$AK$42</definedName>
    <definedName name="__123Graph_CG1" hidden="1">#REF!</definedName>
    <definedName name="__123Graph_CG2" localSheetId="0" hidden="1">#REF!</definedName>
    <definedName name="__123Graph_CG2" localSheetId="4" hidden="1">Sample1!$AK$39:$AK$42</definedName>
    <definedName name="__123Graph_CG2" localSheetId="13" hidden="1">Sample10!$AK$39:$AK$42</definedName>
    <definedName name="__123Graph_CG2" localSheetId="14" hidden="1">Sample11!$AK$39:$AK$42</definedName>
    <definedName name="__123Graph_CG2" localSheetId="15" hidden="1">Sample12!$AK$39:$AK$42</definedName>
    <definedName name="__123Graph_CG2" localSheetId="16" hidden="1">Sample13!$AK$39:$AK$42</definedName>
    <definedName name="__123Graph_CG2" localSheetId="5" hidden="1">Sample2!$AK$39:$AK$42</definedName>
    <definedName name="__123Graph_CG2" localSheetId="6" hidden="1">Sample3!$AK$39:$AK$42</definedName>
    <definedName name="__123Graph_CG2" localSheetId="7" hidden="1">Sample4!$AK$39:$AK$42</definedName>
    <definedName name="__123Graph_CG2" localSheetId="8" hidden="1">Sample5!$AK$39:$AK$42</definedName>
    <definedName name="__123Graph_CG2" localSheetId="9" hidden="1">Sample6!$AK$39:$AK$42</definedName>
    <definedName name="__123Graph_CG2" localSheetId="10" hidden="1">Sample7!$AK$39:$AK$42</definedName>
    <definedName name="__123Graph_CG2" localSheetId="11" hidden="1">Sample8!$AK$39:$AK$42</definedName>
    <definedName name="__123Graph_CG2" localSheetId="12" hidden="1">Sample9!$AK$39:$AK$42</definedName>
    <definedName name="__123Graph_CG2" hidden="1">#REF!</definedName>
    <definedName name="__123Graph_D" localSheetId="0" hidden="1">#REF!</definedName>
    <definedName name="__123Graph_D" localSheetId="4" hidden="1">Sample1!$AL$39:$AL$40</definedName>
    <definedName name="__123Graph_D" localSheetId="13" hidden="1">Sample10!$AL$39:$AL$40</definedName>
    <definedName name="__123Graph_D" localSheetId="14" hidden="1">Sample11!$AL$39:$AL$40</definedName>
    <definedName name="__123Graph_D" localSheetId="15" hidden="1">Sample12!$AL$39:$AL$40</definedName>
    <definedName name="__123Graph_D" localSheetId="16" hidden="1">Sample13!$AL$39:$AL$40</definedName>
    <definedName name="__123Graph_D" localSheetId="5" hidden="1">Sample2!$AL$39:$AL$40</definedName>
    <definedName name="__123Graph_D" localSheetId="6" hidden="1">Sample3!$AL$39:$AL$40</definedName>
    <definedName name="__123Graph_D" localSheetId="7" hidden="1">Sample4!$AL$39:$AL$40</definedName>
    <definedName name="__123Graph_D" localSheetId="8" hidden="1">Sample5!$AL$39:$AL$40</definedName>
    <definedName name="__123Graph_D" localSheetId="9" hidden="1">Sample6!$AL$39:$AL$40</definedName>
    <definedName name="__123Graph_D" localSheetId="10" hidden="1">Sample7!$AL$39:$AL$40</definedName>
    <definedName name="__123Graph_D" localSheetId="11" hidden="1">Sample8!$AL$39:$AL$40</definedName>
    <definedName name="__123Graph_D" localSheetId="12" hidden="1">Sample9!$AL$39:$AL$40</definedName>
    <definedName name="__123Graph_D" hidden="1">#REF!</definedName>
    <definedName name="__123Graph_DG1" localSheetId="0" hidden="1">#REF!</definedName>
    <definedName name="__123Graph_DG1" localSheetId="4" hidden="1">Sample1!$AL$39:$AL$40</definedName>
    <definedName name="__123Graph_DG1" localSheetId="13" hidden="1">Sample10!$AL$39:$AL$40</definedName>
    <definedName name="__123Graph_DG1" localSheetId="14" hidden="1">Sample11!$AL$39:$AL$40</definedName>
    <definedName name="__123Graph_DG1" localSheetId="15" hidden="1">Sample12!$AL$39:$AL$40</definedName>
    <definedName name="__123Graph_DG1" localSheetId="16" hidden="1">Sample13!$AL$39:$AL$40</definedName>
    <definedName name="__123Graph_DG1" localSheetId="5" hidden="1">Sample2!$AL$39:$AL$40</definedName>
    <definedName name="__123Graph_DG1" localSheetId="6" hidden="1">Sample3!$AL$39:$AL$40</definedName>
    <definedName name="__123Graph_DG1" localSheetId="7" hidden="1">Sample4!$AL$39:$AL$40</definedName>
    <definedName name="__123Graph_DG1" localSheetId="8" hidden="1">Sample5!$AL$39:$AL$40</definedName>
    <definedName name="__123Graph_DG1" localSheetId="9" hidden="1">Sample6!$AL$39:$AL$40</definedName>
    <definedName name="__123Graph_DG1" localSheetId="10" hidden="1">Sample7!$AL$39:$AL$40</definedName>
    <definedName name="__123Graph_DG1" localSheetId="11" hidden="1">Sample8!$AL$39:$AL$40</definedName>
    <definedName name="__123Graph_DG1" localSheetId="12" hidden="1">Sample9!$AL$39:$AL$40</definedName>
    <definedName name="__123Graph_DG1" hidden="1">#REF!</definedName>
    <definedName name="__123Graph_DG2" localSheetId="0" hidden="1">#REF!</definedName>
    <definedName name="__123Graph_DG2" localSheetId="4" hidden="1">Sample1!$AL$39:$AL$40</definedName>
    <definedName name="__123Graph_DG2" localSheetId="13" hidden="1">Sample10!$AL$39:$AL$40</definedName>
    <definedName name="__123Graph_DG2" localSheetId="14" hidden="1">Sample11!$AL$39:$AL$40</definedName>
    <definedName name="__123Graph_DG2" localSheetId="15" hidden="1">Sample12!$AL$39:$AL$40</definedName>
    <definedName name="__123Graph_DG2" localSheetId="16" hidden="1">Sample13!$AL$39:$AL$40</definedName>
    <definedName name="__123Graph_DG2" localSheetId="5" hidden="1">Sample2!$AL$39:$AL$40</definedName>
    <definedName name="__123Graph_DG2" localSheetId="6" hidden="1">Sample3!$AL$39:$AL$40</definedName>
    <definedName name="__123Graph_DG2" localSheetId="7" hidden="1">Sample4!$AL$39:$AL$40</definedName>
    <definedName name="__123Graph_DG2" localSheetId="8" hidden="1">Sample5!$AL$39:$AL$40</definedName>
    <definedName name="__123Graph_DG2" localSheetId="9" hidden="1">Sample6!$AL$39:$AL$40</definedName>
    <definedName name="__123Graph_DG2" localSheetId="10" hidden="1">Sample7!$AL$39:$AL$40</definedName>
    <definedName name="__123Graph_DG2" localSheetId="11" hidden="1">Sample8!$AL$39:$AL$40</definedName>
    <definedName name="__123Graph_DG2" localSheetId="12" hidden="1">Sample9!$AL$39:$AL$40</definedName>
    <definedName name="__123Graph_DG2" hidden="1">#REF!</definedName>
    <definedName name="__123Graph_E" localSheetId="0" hidden="1">#REF!</definedName>
    <definedName name="__123Graph_E" localSheetId="4" hidden="1">Sample1!$AM$39:$AM$71</definedName>
    <definedName name="__123Graph_E" localSheetId="13" hidden="1">Sample10!$AM$39:$AM$71</definedName>
    <definedName name="__123Graph_E" localSheetId="14" hidden="1">Sample11!$AM$39:$AM$71</definedName>
    <definedName name="__123Graph_E" localSheetId="15" hidden="1">Sample12!$AM$39:$AM$71</definedName>
    <definedName name="__123Graph_E" localSheetId="16" hidden="1">Sample13!$AM$39:$AM$71</definedName>
    <definedName name="__123Graph_E" localSheetId="5" hidden="1">Sample2!$AM$39:$AM$71</definedName>
    <definedName name="__123Graph_E" localSheetId="6" hidden="1">Sample3!$AM$39:$AM$71</definedName>
    <definedName name="__123Graph_E" localSheetId="7" hidden="1">Sample4!$AM$39:$AM$71</definedName>
    <definedName name="__123Graph_E" localSheetId="8" hidden="1">Sample5!$AM$39:$AM$71</definedName>
    <definedName name="__123Graph_E" localSheetId="9" hidden="1">Sample6!$AM$39:$AM$71</definedName>
    <definedName name="__123Graph_E" localSheetId="10" hidden="1">Sample7!$AM$39:$AM$71</definedName>
    <definedName name="__123Graph_E" localSheetId="11" hidden="1">Sample8!$AM$39:$AM$71</definedName>
    <definedName name="__123Graph_E" localSheetId="12" hidden="1">Sample9!$AM$39:$AM$71</definedName>
    <definedName name="__123Graph_E" hidden="1">#REF!</definedName>
    <definedName name="__123Graph_EG1" localSheetId="0" hidden="1">#REF!</definedName>
    <definedName name="__123Graph_EG1" localSheetId="4" hidden="1">Sample1!$AM$39:$AM$71</definedName>
    <definedName name="__123Graph_EG1" localSheetId="13" hidden="1">Sample10!$AM$39:$AM$71</definedName>
    <definedName name="__123Graph_EG1" localSheetId="14" hidden="1">Sample11!$AM$39:$AM$71</definedName>
    <definedName name="__123Graph_EG1" localSheetId="15" hidden="1">Sample12!$AM$39:$AM$71</definedName>
    <definedName name="__123Graph_EG1" localSheetId="16" hidden="1">Sample13!$AM$39:$AM$71</definedName>
    <definedName name="__123Graph_EG1" localSheetId="5" hidden="1">Sample2!$AM$39:$AM$71</definedName>
    <definedName name="__123Graph_EG1" localSheetId="6" hidden="1">Sample3!$AM$39:$AM$71</definedName>
    <definedName name="__123Graph_EG1" localSheetId="7" hidden="1">Sample4!$AM$39:$AM$71</definedName>
    <definedName name="__123Graph_EG1" localSheetId="8" hidden="1">Sample5!$AM$39:$AM$71</definedName>
    <definedName name="__123Graph_EG1" localSheetId="9" hidden="1">Sample6!$AM$39:$AM$71</definedName>
    <definedName name="__123Graph_EG1" localSheetId="10" hidden="1">Sample7!$AM$39:$AM$71</definedName>
    <definedName name="__123Graph_EG1" localSheetId="11" hidden="1">Sample8!$AM$39:$AM$71</definedName>
    <definedName name="__123Graph_EG1" localSheetId="12" hidden="1">Sample9!$AM$39:$AM$71</definedName>
    <definedName name="__123Graph_EG1" hidden="1">#REF!</definedName>
    <definedName name="__123Graph_EG2" localSheetId="0" hidden="1">#REF!</definedName>
    <definedName name="__123Graph_EG2" localSheetId="4" hidden="1">Sample1!$AM$39:$AM$71</definedName>
    <definedName name="__123Graph_EG2" localSheetId="13" hidden="1">Sample10!$AM$39:$AM$71</definedName>
    <definedName name="__123Graph_EG2" localSheetId="14" hidden="1">Sample11!$AM$39:$AM$71</definedName>
    <definedName name="__123Graph_EG2" localSheetId="15" hidden="1">Sample12!$AM$39:$AM$71</definedName>
    <definedName name="__123Graph_EG2" localSheetId="16" hidden="1">Sample13!$AM$39:$AM$71</definedName>
    <definedName name="__123Graph_EG2" localSheetId="5" hidden="1">Sample2!$AM$39:$AM$71</definedName>
    <definedName name="__123Graph_EG2" localSheetId="6" hidden="1">Sample3!$AM$39:$AM$71</definedName>
    <definedName name="__123Graph_EG2" localSheetId="7" hidden="1">Sample4!$AM$39:$AM$71</definedName>
    <definedName name="__123Graph_EG2" localSheetId="8" hidden="1">Sample5!$AM$39:$AM$71</definedName>
    <definedName name="__123Graph_EG2" localSheetId="9" hidden="1">Sample6!$AM$39:$AM$71</definedName>
    <definedName name="__123Graph_EG2" localSheetId="10" hidden="1">Sample7!$AM$39:$AM$71</definedName>
    <definedName name="__123Graph_EG2" localSheetId="11" hidden="1">Sample8!$AM$39:$AM$71</definedName>
    <definedName name="__123Graph_EG2" localSheetId="12" hidden="1">Sample9!$AM$39:$AM$71</definedName>
    <definedName name="__123Graph_EG2" hidden="1">#REF!</definedName>
    <definedName name="__123Graph_LBL_A" localSheetId="0" hidden="1">#REF!</definedName>
    <definedName name="__123Graph_LBL_A" localSheetId="4" hidden="1">Sample1!$AM$43:$AM$43</definedName>
    <definedName name="__123Graph_LBL_A" localSheetId="13" hidden="1">Sample10!$AM$43:$AM$43</definedName>
    <definedName name="__123Graph_LBL_A" localSheetId="14" hidden="1">Sample11!$AM$43:$AM$43</definedName>
    <definedName name="__123Graph_LBL_A" localSheetId="15" hidden="1">Sample12!$AM$43:$AM$43</definedName>
    <definedName name="__123Graph_LBL_A" localSheetId="16" hidden="1">Sample13!$AM$43:$AM$43</definedName>
    <definedName name="__123Graph_LBL_A" localSheetId="5" hidden="1">Sample2!$AM$43:$AM$43</definedName>
    <definedName name="__123Graph_LBL_A" localSheetId="6" hidden="1">Sample3!$AM$43:$AM$43</definedName>
    <definedName name="__123Graph_LBL_A" localSheetId="7" hidden="1">Sample4!$AM$43:$AM$43</definedName>
    <definedName name="__123Graph_LBL_A" localSheetId="8" hidden="1">Sample5!$AM$43:$AM$43</definedName>
    <definedName name="__123Graph_LBL_A" localSheetId="9" hidden="1">Sample6!$AM$43:$AM$43</definedName>
    <definedName name="__123Graph_LBL_A" localSheetId="10" hidden="1">Sample7!$AM$43:$AM$43</definedName>
    <definedName name="__123Graph_LBL_A" localSheetId="11" hidden="1">Sample8!$AM$43:$AM$43</definedName>
    <definedName name="__123Graph_LBL_A" localSheetId="12" hidden="1">Sample9!$AM$43:$AM$43</definedName>
    <definedName name="__123Graph_LBL_A" hidden="1">#REF!</definedName>
    <definedName name="__123Graph_LBL_AG1" localSheetId="0" hidden="1">#REF!</definedName>
    <definedName name="__123Graph_LBL_AG1" localSheetId="4" hidden="1">Sample1!$AM$43:$AM$43</definedName>
    <definedName name="__123Graph_LBL_AG1" localSheetId="13" hidden="1">Sample10!$AM$43:$AM$43</definedName>
    <definedName name="__123Graph_LBL_AG1" localSheetId="14" hidden="1">Sample11!$AM$43:$AM$43</definedName>
    <definedName name="__123Graph_LBL_AG1" localSheetId="15" hidden="1">Sample12!$AM$43:$AM$43</definedName>
    <definedName name="__123Graph_LBL_AG1" localSheetId="16" hidden="1">Sample13!$AM$43:$AM$43</definedName>
    <definedName name="__123Graph_LBL_AG1" localSheetId="5" hidden="1">Sample2!$AM$43:$AM$43</definedName>
    <definedName name="__123Graph_LBL_AG1" localSheetId="6" hidden="1">Sample3!$AM$43:$AM$43</definedName>
    <definedName name="__123Graph_LBL_AG1" localSheetId="7" hidden="1">Sample4!$AM$43:$AM$43</definedName>
    <definedName name="__123Graph_LBL_AG1" localSheetId="8" hidden="1">Sample5!$AM$43:$AM$43</definedName>
    <definedName name="__123Graph_LBL_AG1" localSheetId="9" hidden="1">Sample6!$AM$43:$AM$43</definedName>
    <definedName name="__123Graph_LBL_AG1" localSheetId="10" hidden="1">Sample7!$AM$43:$AM$43</definedName>
    <definedName name="__123Graph_LBL_AG1" localSheetId="11" hidden="1">Sample8!$AM$43:$AM$43</definedName>
    <definedName name="__123Graph_LBL_AG1" localSheetId="12" hidden="1">Sample9!$AM$43:$AM$43</definedName>
    <definedName name="__123Graph_LBL_AG1" hidden="1">#REF!</definedName>
    <definedName name="__123Graph_LBL_AG2" localSheetId="0" hidden="1">#REF!</definedName>
    <definedName name="__123Graph_LBL_AG2" localSheetId="4" hidden="1">Sample1!$AM$43:$AM$43</definedName>
    <definedName name="__123Graph_LBL_AG2" localSheetId="13" hidden="1">Sample10!$AM$43:$AM$43</definedName>
    <definedName name="__123Graph_LBL_AG2" localSheetId="14" hidden="1">Sample11!$AM$43:$AM$43</definedName>
    <definedName name="__123Graph_LBL_AG2" localSheetId="15" hidden="1">Sample12!$AM$43:$AM$43</definedName>
    <definedName name="__123Graph_LBL_AG2" localSheetId="16" hidden="1">Sample13!$AM$43:$AM$43</definedName>
    <definedName name="__123Graph_LBL_AG2" localSheetId="5" hidden="1">Sample2!$AM$43:$AM$43</definedName>
    <definedName name="__123Graph_LBL_AG2" localSheetId="6" hidden="1">Sample3!$AM$43:$AM$43</definedName>
    <definedName name="__123Graph_LBL_AG2" localSheetId="7" hidden="1">Sample4!$AM$43:$AM$43</definedName>
    <definedName name="__123Graph_LBL_AG2" localSheetId="8" hidden="1">Sample5!$AM$43:$AM$43</definedName>
    <definedName name="__123Graph_LBL_AG2" localSheetId="9" hidden="1">Sample6!$AM$43:$AM$43</definedName>
    <definedName name="__123Graph_LBL_AG2" localSheetId="10" hidden="1">Sample7!$AM$43:$AM$43</definedName>
    <definedName name="__123Graph_LBL_AG2" localSheetId="11" hidden="1">Sample8!$AM$43:$AM$43</definedName>
    <definedName name="__123Graph_LBL_AG2" localSheetId="12" hidden="1">Sample9!$AM$43:$AM$43</definedName>
    <definedName name="__123Graph_LBL_AG2" hidden="1">#REF!</definedName>
    <definedName name="__123Graph_LBL_E" localSheetId="0" hidden="1">#REF!</definedName>
    <definedName name="__123Graph_LBL_E" localSheetId="4" hidden="1">Sample1!#REF!</definedName>
    <definedName name="__123Graph_LBL_E" localSheetId="13" hidden="1">Sample10!#REF!</definedName>
    <definedName name="__123Graph_LBL_E" localSheetId="14" hidden="1">Sample11!#REF!</definedName>
    <definedName name="__123Graph_LBL_E" localSheetId="15" hidden="1">Sample12!#REF!</definedName>
    <definedName name="__123Graph_LBL_E" localSheetId="16" hidden="1">Sample13!#REF!</definedName>
    <definedName name="__123Graph_LBL_E" localSheetId="5" hidden="1">Sample2!#REF!</definedName>
    <definedName name="__123Graph_LBL_E" localSheetId="6" hidden="1">Sample3!#REF!</definedName>
    <definedName name="__123Graph_LBL_E" localSheetId="7" hidden="1">Sample4!#REF!</definedName>
    <definedName name="__123Graph_LBL_E" localSheetId="8" hidden="1">Sample5!#REF!</definedName>
    <definedName name="__123Graph_LBL_E" localSheetId="9" hidden="1">Sample6!#REF!</definedName>
    <definedName name="__123Graph_LBL_E" localSheetId="10" hidden="1">Sample7!#REF!</definedName>
    <definedName name="__123Graph_LBL_E" localSheetId="11" hidden="1">Sample8!#REF!</definedName>
    <definedName name="__123Graph_LBL_E" localSheetId="12" hidden="1">Sample9!#REF!</definedName>
    <definedName name="__123Graph_LBL_E" hidden="1">#REF!</definedName>
    <definedName name="__123Graph_LBL_EG1" localSheetId="0" hidden="1">#REF!</definedName>
    <definedName name="__123Graph_LBL_EG1" localSheetId="4" hidden="1">Sample1!#REF!</definedName>
    <definedName name="__123Graph_LBL_EG1" localSheetId="13" hidden="1">Sample10!#REF!</definedName>
    <definedName name="__123Graph_LBL_EG1" localSheetId="14" hidden="1">Sample11!#REF!</definedName>
    <definedName name="__123Graph_LBL_EG1" localSheetId="15" hidden="1">Sample12!#REF!</definedName>
    <definedName name="__123Graph_LBL_EG1" localSheetId="16" hidden="1">Sample13!#REF!</definedName>
    <definedName name="__123Graph_LBL_EG1" localSheetId="5" hidden="1">Sample2!#REF!</definedName>
    <definedName name="__123Graph_LBL_EG1" localSheetId="6" hidden="1">Sample3!#REF!</definedName>
    <definedName name="__123Graph_LBL_EG1" localSheetId="7" hidden="1">Sample4!#REF!</definedName>
    <definedName name="__123Graph_LBL_EG1" localSheetId="8" hidden="1">Sample5!#REF!</definedName>
    <definedName name="__123Graph_LBL_EG1" localSheetId="9" hidden="1">Sample6!#REF!</definedName>
    <definedName name="__123Graph_LBL_EG1" localSheetId="10" hidden="1">Sample7!#REF!</definedName>
    <definedName name="__123Graph_LBL_EG1" localSheetId="11" hidden="1">Sample8!#REF!</definedName>
    <definedName name="__123Graph_LBL_EG1" localSheetId="12" hidden="1">Sample9!#REF!</definedName>
    <definedName name="__123Graph_LBL_EG1" hidden="1">#REF!</definedName>
    <definedName name="__123Graph_LBL_EG2" localSheetId="0" hidden="1">#REF!</definedName>
    <definedName name="__123Graph_LBL_EG2" localSheetId="4" hidden="1">Sample1!#REF!</definedName>
    <definedName name="__123Graph_LBL_EG2" localSheetId="13" hidden="1">Sample10!#REF!</definedName>
    <definedName name="__123Graph_LBL_EG2" localSheetId="14" hidden="1">Sample11!#REF!</definedName>
    <definedName name="__123Graph_LBL_EG2" localSheetId="15" hidden="1">Sample12!#REF!</definedName>
    <definedName name="__123Graph_LBL_EG2" localSheetId="16" hidden="1">Sample13!#REF!</definedName>
    <definedName name="__123Graph_LBL_EG2" localSheetId="5" hidden="1">Sample2!#REF!</definedName>
    <definedName name="__123Graph_LBL_EG2" localSheetId="6" hidden="1">Sample3!#REF!</definedName>
    <definedName name="__123Graph_LBL_EG2" localSheetId="7" hidden="1">Sample4!#REF!</definedName>
    <definedName name="__123Graph_LBL_EG2" localSheetId="8" hidden="1">Sample5!#REF!</definedName>
    <definedName name="__123Graph_LBL_EG2" localSheetId="9" hidden="1">Sample6!#REF!</definedName>
    <definedName name="__123Graph_LBL_EG2" localSheetId="10" hidden="1">Sample7!#REF!</definedName>
    <definedName name="__123Graph_LBL_EG2" localSheetId="11" hidden="1">Sample8!#REF!</definedName>
    <definedName name="__123Graph_LBL_EG2" localSheetId="12" hidden="1">Sample9!#REF!</definedName>
    <definedName name="__123Graph_LBL_EG2" hidden="1">#REF!</definedName>
    <definedName name="__123Graph_X" localSheetId="0" hidden="1">#REF!</definedName>
    <definedName name="__123Graph_X" localSheetId="4" hidden="1">Sample1!$AG$44:$AG$71</definedName>
    <definedName name="__123Graph_X" localSheetId="13" hidden="1">Sample10!$AG$44:$AG$71</definedName>
    <definedName name="__123Graph_X" localSheetId="14" hidden="1">Sample11!$AG$44:$AG$71</definedName>
    <definedName name="__123Graph_X" localSheetId="15" hidden="1">Sample12!$AG$44:$AG$71</definedName>
    <definedName name="__123Graph_X" localSheetId="16" hidden="1">Sample13!$AG$44:$AG$71</definedName>
    <definedName name="__123Graph_X" localSheetId="5" hidden="1">Sample2!$AG$44:$AG$71</definedName>
    <definedName name="__123Graph_X" localSheetId="6" hidden="1">Sample3!$AG$44:$AG$71</definedName>
    <definedName name="__123Graph_X" localSheetId="7" hidden="1">Sample4!$AG$44:$AG$71</definedName>
    <definedName name="__123Graph_X" localSheetId="8" hidden="1">Sample5!$AG$44:$AG$71</definedName>
    <definedName name="__123Graph_X" localSheetId="9" hidden="1">Sample6!$AG$44:$AG$71</definedName>
    <definedName name="__123Graph_X" localSheetId="10" hidden="1">Sample7!$AG$44:$AG$71</definedName>
    <definedName name="__123Graph_X" localSheetId="11" hidden="1">Sample8!$AG$44:$AG$71</definedName>
    <definedName name="__123Graph_X" localSheetId="12" hidden="1">Sample9!$AG$44:$AG$71</definedName>
    <definedName name="__123Graph_X" hidden="1">#REF!</definedName>
    <definedName name="__123Graph_XG1" localSheetId="0" hidden="1">#REF!</definedName>
    <definedName name="__123Graph_XG1" localSheetId="4" hidden="1">Sample1!$AG$44:$AG$71</definedName>
    <definedName name="__123Graph_XG1" localSheetId="13" hidden="1">Sample10!$AG$44:$AG$71</definedName>
    <definedName name="__123Graph_XG1" localSheetId="14" hidden="1">Sample11!$AG$44:$AG$71</definedName>
    <definedName name="__123Graph_XG1" localSheetId="15" hidden="1">Sample12!$AG$44:$AG$71</definedName>
    <definedName name="__123Graph_XG1" localSheetId="16" hidden="1">Sample13!$AG$44:$AG$71</definedName>
    <definedName name="__123Graph_XG1" localSheetId="5" hidden="1">Sample2!$AG$44:$AG$71</definedName>
    <definedName name="__123Graph_XG1" localSheetId="6" hidden="1">Sample3!$AG$44:$AG$71</definedName>
    <definedName name="__123Graph_XG1" localSheetId="7" hidden="1">Sample4!$AG$44:$AG$71</definedName>
    <definedName name="__123Graph_XG1" localSheetId="8" hidden="1">Sample5!$AG$44:$AG$71</definedName>
    <definedName name="__123Graph_XG1" localSheetId="9" hidden="1">Sample6!$AG$44:$AG$71</definedName>
    <definedName name="__123Graph_XG1" localSheetId="10" hidden="1">Sample7!$AG$44:$AG$71</definedName>
    <definedName name="__123Graph_XG1" localSheetId="11" hidden="1">Sample8!$AG$44:$AG$71</definedName>
    <definedName name="__123Graph_XG1" localSheetId="12" hidden="1">Sample9!$AG$44:$AG$71</definedName>
    <definedName name="__123Graph_XG1" hidden="1">#REF!</definedName>
    <definedName name="__123Graph_XG2" localSheetId="0" hidden="1">#REF!</definedName>
    <definedName name="__123Graph_XG2" localSheetId="4" hidden="1">Sample1!$AG$44:$AG$71</definedName>
    <definedName name="__123Graph_XG2" localSheetId="13" hidden="1">Sample10!$AG$44:$AG$71</definedName>
    <definedName name="__123Graph_XG2" localSheetId="14" hidden="1">Sample11!$AG$44:$AG$71</definedName>
    <definedName name="__123Graph_XG2" localSheetId="15" hidden="1">Sample12!$AG$44:$AG$71</definedName>
    <definedName name="__123Graph_XG2" localSheetId="16" hidden="1">Sample13!$AG$44:$AG$71</definedName>
    <definedName name="__123Graph_XG2" localSheetId="5" hidden="1">Sample2!$AG$44:$AG$71</definedName>
    <definedName name="__123Graph_XG2" localSheetId="6" hidden="1">Sample3!$AG$44:$AG$71</definedName>
    <definedName name="__123Graph_XG2" localSheetId="7" hidden="1">Sample4!$AG$44:$AG$71</definedName>
    <definedName name="__123Graph_XG2" localSheetId="8" hidden="1">Sample5!$AG$44:$AG$71</definedName>
    <definedName name="__123Graph_XG2" localSheetId="9" hidden="1">Sample6!$AG$44:$AG$71</definedName>
    <definedName name="__123Graph_XG2" localSheetId="10" hidden="1">Sample7!$AG$44:$AG$71</definedName>
    <definedName name="__123Graph_XG2" localSheetId="11" hidden="1">Sample8!$AG$44:$AG$71</definedName>
    <definedName name="__123Graph_XG2" localSheetId="12" hidden="1">Sample9!$AG$44:$AG$71</definedName>
    <definedName name="__123Graph_XG2" hidden="1">#REF!</definedName>
    <definedName name="_Regression_Int" localSheetId="4" hidden="1">1</definedName>
    <definedName name="_Regression_Int" localSheetId="13" hidden="1">1</definedName>
    <definedName name="_Regression_Int" localSheetId="14" hidden="1">1</definedName>
    <definedName name="_Regression_Int" localSheetId="15" hidden="1">1</definedName>
    <definedName name="_Regression_Int" localSheetId="16" hidden="1">1</definedName>
    <definedName name="_Regression_Int" localSheetId="5" hidden="1">1</definedName>
    <definedName name="_Regression_Int" localSheetId="6" hidden="1">1</definedName>
    <definedName name="_Regression_Int" localSheetId="7" hidden="1">1</definedName>
    <definedName name="_Regression_Int" localSheetId="8" hidden="1">1</definedName>
    <definedName name="_Regression_Int" localSheetId="9" hidden="1">1</definedName>
    <definedName name="_Regression_Int" localSheetId="10" hidden="1">1</definedName>
    <definedName name="_Regression_Int" localSheetId="11" hidden="1">1</definedName>
    <definedName name="_Regression_Int" localSheetId="12" hidden="1">1</definedName>
    <definedName name="_xlnm.Print_Area" localSheetId="1">Datasheet!$A$1:$X$56</definedName>
    <definedName name="_xlnm.Print_Area" localSheetId="3">Graphs!$A$1:$C$5</definedName>
  </definedNames>
  <calcPr calcId="152511"/>
</workbook>
</file>

<file path=xl/calcChain.xml><?xml version="1.0" encoding="utf-8"?>
<calcChain xmlns="http://schemas.openxmlformats.org/spreadsheetml/2006/main">
  <c r="B2" i="34" l="1"/>
  <c r="C2" i="34"/>
  <c r="D2" i="34"/>
  <c r="E2" i="34"/>
  <c r="F2" i="34"/>
  <c r="G2" i="34"/>
  <c r="H2" i="34"/>
  <c r="B4" i="34"/>
  <c r="C4" i="34"/>
  <c r="C5" i="34"/>
  <c r="D5" i="34"/>
  <c r="E5" i="34"/>
  <c r="F5" i="34"/>
  <c r="G5" i="34"/>
  <c r="H5" i="34"/>
  <c r="M83" i="20" l="1"/>
  <c r="L83" i="20"/>
  <c r="K83" i="20"/>
  <c r="J83" i="20"/>
  <c r="I83" i="20"/>
  <c r="G83" i="20"/>
  <c r="F83" i="20"/>
  <c r="E83" i="20"/>
  <c r="D83" i="20"/>
  <c r="C83" i="20"/>
  <c r="M82" i="20"/>
  <c r="L82" i="20"/>
  <c r="K82" i="20"/>
  <c r="J82" i="20"/>
  <c r="I82" i="20"/>
  <c r="G82" i="20"/>
  <c r="F82" i="20"/>
  <c r="E82" i="20"/>
  <c r="D82" i="20"/>
  <c r="C82" i="20"/>
  <c r="M81" i="20"/>
  <c r="L81" i="20"/>
  <c r="K81" i="20"/>
  <c r="J81" i="20"/>
  <c r="I81" i="20"/>
  <c r="G81" i="20"/>
  <c r="F81" i="20"/>
  <c r="E81" i="20"/>
  <c r="D81" i="20"/>
  <c r="C81" i="20"/>
  <c r="M80" i="20"/>
  <c r="L80" i="20"/>
  <c r="K80" i="20"/>
  <c r="J80" i="20"/>
  <c r="I80" i="20"/>
  <c r="G80" i="20"/>
  <c r="F80" i="20"/>
  <c r="E80" i="20"/>
  <c r="D80" i="20"/>
  <c r="C80" i="20"/>
  <c r="M79" i="20"/>
  <c r="L79" i="20"/>
  <c r="K79" i="20"/>
  <c r="J79" i="20"/>
  <c r="I79" i="20"/>
  <c r="G79" i="20"/>
  <c r="F79" i="20"/>
  <c r="E79" i="20"/>
  <c r="D79" i="20"/>
  <c r="C79" i="20"/>
  <c r="M78" i="20"/>
  <c r="L78" i="20"/>
  <c r="K78" i="20"/>
  <c r="J78" i="20"/>
  <c r="I78" i="20"/>
  <c r="G78" i="20"/>
  <c r="F78" i="20"/>
  <c r="E78" i="20"/>
  <c r="D78" i="20"/>
  <c r="C78" i="20"/>
  <c r="M77" i="20"/>
  <c r="L77" i="20"/>
  <c r="K77" i="20"/>
  <c r="J77" i="20"/>
  <c r="I77" i="20"/>
  <c r="G77" i="20"/>
  <c r="F77" i="20"/>
  <c r="E77" i="20"/>
  <c r="D77" i="20"/>
  <c r="C77" i="20"/>
  <c r="Q76" i="20"/>
  <c r="M76" i="20"/>
  <c r="L76" i="20"/>
  <c r="K76" i="20"/>
  <c r="J76" i="20"/>
  <c r="I76" i="20"/>
  <c r="G76" i="20"/>
  <c r="F76" i="20"/>
  <c r="E76" i="20"/>
  <c r="D76" i="20"/>
  <c r="C76" i="20"/>
  <c r="M40" i="20"/>
  <c r="L40" i="20"/>
  <c r="K40" i="20"/>
  <c r="J40" i="20"/>
  <c r="I40" i="20"/>
  <c r="G40" i="20"/>
  <c r="F40" i="20"/>
  <c r="E40" i="20"/>
  <c r="D40" i="20"/>
  <c r="C40" i="20"/>
  <c r="M39" i="20"/>
  <c r="L39" i="20"/>
  <c r="K39" i="20"/>
  <c r="J39" i="20"/>
  <c r="I39" i="20"/>
  <c r="G39" i="20"/>
  <c r="F39" i="20"/>
  <c r="E39" i="20"/>
  <c r="D39" i="20"/>
  <c r="C39" i="20"/>
  <c r="M38" i="20"/>
  <c r="L38" i="20"/>
  <c r="K38" i="20"/>
  <c r="J38" i="20"/>
  <c r="I38" i="20"/>
  <c r="G38" i="20"/>
  <c r="F38" i="20"/>
  <c r="E38" i="20"/>
  <c r="D38" i="20"/>
  <c r="C38" i="20"/>
  <c r="M37" i="20"/>
  <c r="L37" i="20"/>
  <c r="K37" i="20"/>
  <c r="J37" i="20"/>
  <c r="I37" i="20"/>
  <c r="G37" i="20"/>
  <c r="F37" i="20"/>
  <c r="E37" i="20"/>
  <c r="D37" i="20"/>
  <c r="C37" i="20"/>
  <c r="M36" i="20"/>
  <c r="L36" i="20"/>
  <c r="K36" i="20"/>
  <c r="J36" i="20"/>
  <c r="I36" i="20"/>
  <c r="G36" i="20"/>
  <c r="F36" i="20"/>
  <c r="E36" i="20"/>
  <c r="D36" i="20"/>
  <c r="C36" i="20"/>
  <c r="M35" i="20"/>
  <c r="L35" i="20"/>
  <c r="K35" i="20"/>
  <c r="J35" i="20"/>
  <c r="I35" i="20"/>
  <c r="G35" i="20"/>
  <c r="F35" i="20"/>
  <c r="E35" i="20"/>
  <c r="D35" i="20"/>
  <c r="C35" i="20"/>
  <c r="M34" i="20"/>
  <c r="L34" i="20"/>
  <c r="K34" i="20"/>
  <c r="J34" i="20"/>
  <c r="I34" i="20"/>
  <c r="G34" i="20"/>
  <c r="F34" i="20"/>
  <c r="E34" i="20"/>
  <c r="D34" i="20"/>
  <c r="C34" i="20"/>
  <c r="Q33" i="20"/>
  <c r="M33" i="20"/>
  <c r="L33" i="20"/>
  <c r="K33" i="20"/>
  <c r="J33" i="20"/>
  <c r="I33" i="20"/>
  <c r="G33" i="20"/>
  <c r="F33" i="20"/>
  <c r="E33" i="20"/>
  <c r="D33" i="20"/>
  <c r="C33" i="20"/>
  <c r="AW32" i="33"/>
  <c r="AV32" i="33"/>
  <c r="AL32" i="33"/>
  <c r="AG32" i="33"/>
  <c r="AF32" i="33"/>
  <c r="AK32" i="33" s="1"/>
  <c r="AW31" i="33"/>
  <c r="AV31" i="33"/>
  <c r="AL31" i="33"/>
  <c r="AG31" i="33"/>
  <c r="AF31" i="33"/>
  <c r="AW30" i="33"/>
  <c r="AV30" i="33"/>
  <c r="AL30" i="33"/>
  <c r="AG30" i="33"/>
  <c r="AF30" i="33"/>
  <c r="AK30" i="33" s="1"/>
  <c r="AW29" i="33"/>
  <c r="AV29" i="33"/>
  <c r="AL29" i="33"/>
  <c r="AG29" i="33"/>
  <c r="AF29" i="33"/>
  <c r="AK29" i="33" s="1"/>
  <c r="AW28" i="33"/>
  <c r="AV28" i="33"/>
  <c r="AL28" i="33"/>
  <c r="AG28" i="33"/>
  <c r="AF28" i="33"/>
  <c r="AK28" i="33" s="1"/>
  <c r="AW27" i="33"/>
  <c r="AV27" i="33"/>
  <c r="AL27" i="33"/>
  <c r="AG27" i="33"/>
  <c r="AF27" i="33"/>
  <c r="AK27" i="33" s="1"/>
  <c r="AW26" i="33"/>
  <c r="AV26" i="33"/>
  <c r="AL26" i="33"/>
  <c r="AG26" i="33"/>
  <c r="AF26" i="33"/>
  <c r="AK26" i="33" s="1"/>
  <c r="AW23" i="33"/>
  <c r="AV23" i="33"/>
  <c r="AL23" i="33"/>
  <c r="AG23" i="33"/>
  <c r="AF23" i="33"/>
  <c r="AK23" i="33" s="1"/>
  <c r="AW22" i="33"/>
  <c r="AV22" i="33"/>
  <c r="AL22" i="33"/>
  <c r="AG22" i="33"/>
  <c r="AF22" i="33"/>
  <c r="AK22" i="33" s="1"/>
  <c r="AW21" i="33"/>
  <c r="AV21" i="33"/>
  <c r="AL21" i="33"/>
  <c r="AG21" i="33"/>
  <c r="AF21" i="33"/>
  <c r="AK21" i="33" s="1"/>
  <c r="AW20" i="33"/>
  <c r="AV20" i="33"/>
  <c r="AL20" i="33"/>
  <c r="AG20" i="33"/>
  <c r="AF20" i="33"/>
  <c r="AJ20" i="33" s="1"/>
  <c r="AW19" i="33"/>
  <c r="AV19" i="33"/>
  <c r="AL19" i="33"/>
  <c r="AG19" i="33"/>
  <c r="AF19" i="33"/>
  <c r="AK19" i="33" s="1"/>
  <c r="F19" i="33"/>
  <c r="AW18" i="33"/>
  <c r="AV18" i="33"/>
  <c r="AL18" i="33"/>
  <c r="AG18" i="33"/>
  <c r="AF18" i="33"/>
  <c r="AK18" i="33" s="1"/>
  <c r="AW17" i="33"/>
  <c r="AV17" i="33"/>
  <c r="AL17" i="33"/>
  <c r="AG17" i="33"/>
  <c r="AF17" i="33"/>
  <c r="AK17" i="33" s="1"/>
  <c r="AD8" i="33"/>
  <c r="AD7" i="33"/>
  <c r="AD6" i="33"/>
  <c r="AD5" i="33"/>
  <c r="AW32" i="32"/>
  <c r="AV32" i="32"/>
  <c r="AL32" i="32"/>
  <c r="AG32" i="32"/>
  <c r="AF32" i="32"/>
  <c r="AK32" i="32" s="1"/>
  <c r="AW31" i="32"/>
  <c r="AV31" i="32"/>
  <c r="AL31" i="32"/>
  <c r="AG31" i="32"/>
  <c r="AF31" i="32"/>
  <c r="AW30" i="32"/>
  <c r="AV30" i="32"/>
  <c r="AL30" i="32"/>
  <c r="AG30" i="32"/>
  <c r="AF30" i="32"/>
  <c r="AK30" i="32" s="1"/>
  <c r="AW29" i="32"/>
  <c r="AV29" i="32"/>
  <c r="AL29" i="32"/>
  <c r="AG29" i="32"/>
  <c r="AF29" i="32"/>
  <c r="AW28" i="32"/>
  <c r="AV28" i="32"/>
  <c r="AL28" i="32"/>
  <c r="AG28" i="32"/>
  <c r="AF28" i="32"/>
  <c r="AW27" i="32"/>
  <c r="AV27" i="32"/>
  <c r="AL27" i="32"/>
  <c r="AG27" i="32"/>
  <c r="AF27" i="32"/>
  <c r="AK27" i="32" s="1"/>
  <c r="AW26" i="32"/>
  <c r="AV26" i="32"/>
  <c r="AL26" i="32"/>
  <c r="AG26" i="32"/>
  <c r="AF26" i="32"/>
  <c r="AK26" i="32" s="1"/>
  <c r="AW23" i="32"/>
  <c r="AV23" i="32"/>
  <c r="AL23" i="32"/>
  <c r="AG23" i="32"/>
  <c r="AF23" i="32"/>
  <c r="AK23" i="32" s="1"/>
  <c r="AW22" i="32"/>
  <c r="AV22" i="32"/>
  <c r="AL22" i="32"/>
  <c r="AG22" i="32"/>
  <c r="AF22" i="32"/>
  <c r="AW21" i="32"/>
  <c r="AV21" i="32"/>
  <c r="AL21" i="32"/>
  <c r="AG21" i="32"/>
  <c r="AF21" i="32"/>
  <c r="AK21" i="32" s="1"/>
  <c r="AW20" i="32"/>
  <c r="AV20" i="32"/>
  <c r="AL20" i="32"/>
  <c r="AG20" i="32"/>
  <c r="AF20" i="32"/>
  <c r="AW19" i="32"/>
  <c r="AV19" i="32"/>
  <c r="AL19" i="32"/>
  <c r="AG19" i="32"/>
  <c r="AF19" i="32"/>
  <c r="AK19" i="32" s="1"/>
  <c r="F19" i="32"/>
  <c r="AW18" i="32"/>
  <c r="AV18" i="32"/>
  <c r="AL18" i="32"/>
  <c r="AG18" i="32"/>
  <c r="AF18" i="32"/>
  <c r="AK18" i="32" s="1"/>
  <c r="AW17" i="32"/>
  <c r="AV17" i="32"/>
  <c r="AL17" i="32"/>
  <c r="AG17" i="32"/>
  <c r="AF17" i="32"/>
  <c r="AD8" i="32"/>
  <c r="AD7" i="32"/>
  <c r="AD6" i="32"/>
  <c r="AD5" i="32"/>
  <c r="AW32" i="31"/>
  <c r="AV32" i="31"/>
  <c r="AL32" i="31"/>
  <c r="AG32" i="31"/>
  <c r="AF32" i="31"/>
  <c r="AK32" i="31" s="1"/>
  <c r="AW31" i="31"/>
  <c r="AV31" i="31"/>
  <c r="AL31" i="31"/>
  <c r="AG31" i="31"/>
  <c r="AF31" i="31"/>
  <c r="AW30" i="31"/>
  <c r="AV30" i="31"/>
  <c r="AL30" i="31"/>
  <c r="AG30" i="31"/>
  <c r="AF30" i="31"/>
  <c r="AW29" i="31"/>
  <c r="AV29" i="31"/>
  <c r="AL29" i="31"/>
  <c r="AG29" i="31"/>
  <c r="AF29" i="31"/>
  <c r="AW28" i="31"/>
  <c r="AV28" i="31"/>
  <c r="AL28" i="31"/>
  <c r="AG28" i="31"/>
  <c r="AF28" i="31"/>
  <c r="AW27" i="31"/>
  <c r="AV27" i="31"/>
  <c r="AL27" i="31"/>
  <c r="AG27" i="31"/>
  <c r="AF27" i="31"/>
  <c r="AK27" i="31" s="1"/>
  <c r="AW26" i="31"/>
  <c r="AV26" i="31"/>
  <c r="AL26" i="31"/>
  <c r="AG26" i="31"/>
  <c r="AF26" i="31"/>
  <c r="AW23" i="31"/>
  <c r="AV23" i="31"/>
  <c r="AL23" i="31"/>
  <c r="AG23" i="31"/>
  <c r="AF23" i="31"/>
  <c r="AK23" i="31" s="1"/>
  <c r="AW22" i="31"/>
  <c r="AV22" i="31"/>
  <c r="AL22" i="31"/>
  <c r="AG22" i="31"/>
  <c r="AF22" i="31"/>
  <c r="AW21" i="31"/>
  <c r="AV21" i="31"/>
  <c r="AL21" i="31"/>
  <c r="AG21" i="31"/>
  <c r="AF21" i="31"/>
  <c r="AK21" i="31" s="1"/>
  <c r="AW20" i="31"/>
  <c r="AV20" i="31"/>
  <c r="AL20" i="31"/>
  <c r="AG20" i="31"/>
  <c r="AF20" i="31"/>
  <c r="AK20" i="31" s="1"/>
  <c r="AW19" i="31"/>
  <c r="AV19" i="31"/>
  <c r="AL19" i="31"/>
  <c r="AG19" i="31"/>
  <c r="AF19" i="31"/>
  <c r="F19" i="31"/>
  <c r="AW18" i="31"/>
  <c r="AV18" i="31"/>
  <c r="AL18" i="31"/>
  <c r="AG18" i="31"/>
  <c r="AF18" i="31"/>
  <c r="AK18" i="31" s="1"/>
  <c r="AW17" i="31"/>
  <c r="AV17" i="31"/>
  <c r="AL17" i="31"/>
  <c r="AG17" i="31"/>
  <c r="AF17" i="31"/>
  <c r="AK17" i="31" s="1"/>
  <c r="AD8" i="31"/>
  <c r="AD7" i="31"/>
  <c r="AD6" i="31"/>
  <c r="AD5" i="31"/>
  <c r="AW32" i="30"/>
  <c r="AV32" i="30"/>
  <c r="AL32" i="30"/>
  <c r="AG32" i="30"/>
  <c r="AF32" i="30"/>
  <c r="AK32" i="30" s="1"/>
  <c r="AW31" i="30"/>
  <c r="AV31" i="30"/>
  <c r="AL31" i="30"/>
  <c r="AG31" i="30"/>
  <c r="AF31" i="30"/>
  <c r="AW30" i="30"/>
  <c r="AV30" i="30"/>
  <c r="AL30" i="30"/>
  <c r="AG30" i="30"/>
  <c r="AF30" i="30"/>
  <c r="AJ30" i="30" s="1"/>
  <c r="AW29" i="30"/>
  <c r="AV29" i="30"/>
  <c r="AL29" i="30"/>
  <c r="AG29" i="30"/>
  <c r="AF29" i="30"/>
  <c r="AW28" i="30"/>
  <c r="AV28" i="30"/>
  <c r="AL28" i="30"/>
  <c r="AG28" i="30"/>
  <c r="AF28" i="30"/>
  <c r="AW27" i="30"/>
  <c r="AV27" i="30"/>
  <c r="AL27" i="30"/>
  <c r="AG27" i="30"/>
  <c r="AF27" i="30"/>
  <c r="AK27" i="30" s="1"/>
  <c r="AW26" i="30"/>
  <c r="AV26" i="30"/>
  <c r="AL26" i="30"/>
  <c r="AG26" i="30"/>
  <c r="AF26" i="30"/>
  <c r="AK26" i="30" s="1"/>
  <c r="AW23" i="30"/>
  <c r="AV23" i="30"/>
  <c r="AL23" i="30"/>
  <c r="AG23" i="30"/>
  <c r="AF23" i="30"/>
  <c r="AK23" i="30" s="1"/>
  <c r="AW22" i="30"/>
  <c r="AV22" i="30"/>
  <c r="AL22" i="30"/>
  <c r="AG22" i="30"/>
  <c r="AF22" i="30"/>
  <c r="AK22" i="30" s="1"/>
  <c r="AW21" i="30"/>
  <c r="AV21" i="30"/>
  <c r="AL21" i="30"/>
  <c r="AG21" i="30"/>
  <c r="AF21" i="30"/>
  <c r="AK21" i="30" s="1"/>
  <c r="AW20" i="30"/>
  <c r="AV20" i="30"/>
  <c r="AL20" i="30"/>
  <c r="AG20" i="30"/>
  <c r="AF20" i="30"/>
  <c r="AJ20" i="30" s="1"/>
  <c r="AW19" i="30"/>
  <c r="AV19" i="30"/>
  <c r="AL19" i="30"/>
  <c r="AG19" i="30"/>
  <c r="AF19" i="30"/>
  <c r="AK19" i="30" s="1"/>
  <c r="F19" i="30"/>
  <c r="AW18" i="30"/>
  <c r="AV18" i="30"/>
  <c r="AL18" i="30"/>
  <c r="AG18" i="30"/>
  <c r="AF18" i="30"/>
  <c r="AW17" i="30"/>
  <c r="AV17" i="30"/>
  <c r="AL17" i="30"/>
  <c r="AG17" i="30"/>
  <c r="AF17" i="30"/>
  <c r="AK17" i="30" s="1"/>
  <c r="AD8" i="30"/>
  <c r="AD7" i="30"/>
  <c r="AD6" i="30"/>
  <c r="AD5" i="30"/>
  <c r="AW32" i="29"/>
  <c r="AV32" i="29"/>
  <c r="AL32" i="29"/>
  <c r="AG32" i="29"/>
  <c r="AF32" i="29"/>
  <c r="AK32" i="29" s="1"/>
  <c r="AW31" i="29"/>
  <c r="AV31" i="29"/>
  <c r="AL31" i="29"/>
  <c r="AG31" i="29"/>
  <c r="AF31" i="29"/>
  <c r="AJ31" i="29" s="1"/>
  <c r="AW30" i="29"/>
  <c r="AV30" i="29"/>
  <c r="AL30" i="29"/>
  <c r="AG30" i="29"/>
  <c r="AF30" i="29"/>
  <c r="AK30" i="29" s="1"/>
  <c r="AW29" i="29"/>
  <c r="AV29" i="29"/>
  <c r="AL29" i="29"/>
  <c r="AG29" i="29"/>
  <c r="AF29" i="29"/>
  <c r="AW28" i="29"/>
  <c r="AV28" i="29"/>
  <c r="AL28" i="29"/>
  <c r="AG28" i="29"/>
  <c r="AF28" i="29"/>
  <c r="AW27" i="29"/>
  <c r="AV27" i="29"/>
  <c r="AL27" i="29"/>
  <c r="AG27" i="29"/>
  <c r="AF27" i="29"/>
  <c r="AK27" i="29" s="1"/>
  <c r="AW26" i="29"/>
  <c r="AV26" i="29"/>
  <c r="AL26" i="29"/>
  <c r="AG26" i="29"/>
  <c r="AF26" i="29"/>
  <c r="AK26" i="29" s="1"/>
  <c r="AW23" i="29"/>
  <c r="AV23" i="29"/>
  <c r="AL23" i="29"/>
  <c r="AG23" i="29"/>
  <c r="AF23" i="29"/>
  <c r="AK23" i="29" s="1"/>
  <c r="AW22" i="29"/>
  <c r="AV22" i="29"/>
  <c r="AL22" i="29"/>
  <c r="AG22" i="29"/>
  <c r="AF22" i="29"/>
  <c r="AK22" i="29" s="1"/>
  <c r="AW21" i="29"/>
  <c r="AV21" i="29"/>
  <c r="AL21" i="29"/>
  <c r="AG21" i="29"/>
  <c r="AF21" i="29"/>
  <c r="AK21" i="29" s="1"/>
  <c r="AW20" i="29"/>
  <c r="AV20" i="29"/>
  <c r="AL20" i="29"/>
  <c r="AG20" i="29"/>
  <c r="AF20" i="29"/>
  <c r="AK20" i="29" s="1"/>
  <c r="AW19" i="29"/>
  <c r="AV19" i="29"/>
  <c r="AL19" i="29"/>
  <c r="AG19" i="29"/>
  <c r="AF19" i="29"/>
  <c r="F19" i="29"/>
  <c r="AW18" i="29"/>
  <c r="AV18" i="29"/>
  <c r="AL18" i="29"/>
  <c r="AG18" i="29"/>
  <c r="AF18" i="29"/>
  <c r="AK18" i="29" s="1"/>
  <c r="AW17" i="29"/>
  <c r="AV17" i="29"/>
  <c r="AL17" i="29"/>
  <c r="AG17" i="29"/>
  <c r="AF17" i="29"/>
  <c r="AD8" i="29"/>
  <c r="AD7" i="29"/>
  <c r="AD6" i="29"/>
  <c r="AD5" i="29"/>
  <c r="AW32" i="28"/>
  <c r="AV32" i="28"/>
  <c r="AL32" i="28"/>
  <c r="AG32" i="28"/>
  <c r="AF32" i="28"/>
  <c r="AK32" i="28" s="1"/>
  <c r="AW31" i="28"/>
  <c r="AV31" i="28"/>
  <c r="AL31" i="28"/>
  <c r="AG31" i="28"/>
  <c r="AF31" i="28"/>
  <c r="AW30" i="28"/>
  <c r="AV30" i="28"/>
  <c r="AL30" i="28"/>
  <c r="AG30" i="28"/>
  <c r="AF30" i="28"/>
  <c r="AK30" i="28" s="1"/>
  <c r="AW29" i="28"/>
  <c r="AV29" i="28"/>
  <c r="AL29" i="28"/>
  <c r="AG29" i="28"/>
  <c r="AF29" i="28"/>
  <c r="AJ29" i="28" s="1"/>
  <c r="AW28" i="28"/>
  <c r="AV28" i="28"/>
  <c r="AL28" i="28"/>
  <c r="AG28" i="28"/>
  <c r="AF28" i="28"/>
  <c r="AK28" i="28" s="1"/>
  <c r="AW27" i="28"/>
  <c r="AV27" i="28"/>
  <c r="AL27" i="28"/>
  <c r="AG27" i="28"/>
  <c r="AF27" i="28"/>
  <c r="AK27" i="28" s="1"/>
  <c r="AW26" i="28"/>
  <c r="AV26" i="28"/>
  <c r="AL26" i="28"/>
  <c r="AG26" i="28"/>
  <c r="AF26" i="28"/>
  <c r="AW23" i="28"/>
  <c r="AV23" i="28"/>
  <c r="AL23" i="28"/>
  <c r="AG23" i="28"/>
  <c r="AF23" i="28"/>
  <c r="AW22" i="28"/>
  <c r="AV22" i="28"/>
  <c r="AL22" i="28"/>
  <c r="AG22" i="28"/>
  <c r="AF22" i="28"/>
  <c r="AJ22" i="28" s="1"/>
  <c r="AW21" i="28"/>
  <c r="AV21" i="28"/>
  <c r="AL21" i="28"/>
  <c r="AG21" i="28"/>
  <c r="AF21" i="28"/>
  <c r="AK21" i="28" s="1"/>
  <c r="AW20" i="28"/>
  <c r="AV20" i="28"/>
  <c r="AL20" i="28"/>
  <c r="AG20" i="28"/>
  <c r="AF20" i="28"/>
  <c r="AK20" i="28" s="1"/>
  <c r="AW19" i="28"/>
  <c r="AV19" i="28"/>
  <c r="AL19" i="28"/>
  <c r="AG19" i="28"/>
  <c r="AF19" i="28"/>
  <c r="AK19" i="28" s="1"/>
  <c r="F19" i="28"/>
  <c r="AW18" i="28"/>
  <c r="AV18" i="28"/>
  <c r="AL18" i="28"/>
  <c r="AG18" i="28"/>
  <c r="AF18" i="28"/>
  <c r="AW17" i="28"/>
  <c r="AV17" i="28"/>
  <c r="AL17" i="28"/>
  <c r="AG17" i="28"/>
  <c r="AF17" i="28"/>
  <c r="AD8" i="28"/>
  <c r="AD7" i="28"/>
  <c r="AD6" i="28"/>
  <c r="AD5" i="28"/>
  <c r="AW32" i="27"/>
  <c r="AV32" i="27"/>
  <c r="AL32" i="27"/>
  <c r="AG32" i="27"/>
  <c r="AF32" i="27"/>
  <c r="AJ32" i="27" s="1"/>
  <c r="AW31" i="27"/>
  <c r="AL31" i="27"/>
  <c r="AG31" i="27"/>
  <c r="AF31" i="27"/>
  <c r="AW30" i="27"/>
  <c r="AL30" i="27"/>
  <c r="AG30" i="27"/>
  <c r="AF30" i="27"/>
  <c r="AW29" i="27"/>
  <c r="AL29" i="27"/>
  <c r="AG29" i="27"/>
  <c r="AF29" i="27"/>
  <c r="AW28" i="27"/>
  <c r="AL28" i="27"/>
  <c r="AG28" i="27"/>
  <c r="AF28" i="27"/>
  <c r="AW27" i="27"/>
  <c r="AL27" i="27"/>
  <c r="AG27" i="27"/>
  <c r="AF27" i="27"/>
  <c r="AW26" i="27"/>
  <c r="AL26" i="27"/>
  <c r="AG26" i="27"/>
  <c r="AF26" i="27"/>
  <c r="AW23" i="27"/>
  <c r="AV23" i="27"/>
  <c r="AL23" i="27"/>
  <c r="AG23" i="27"/>
  <c r="AF23" i="27"/>
  <c r="AJ23" i="27" s="1"/>
  <c r="AW22" i="27"/>
  <c r="AL22" i="27"/>
  <c r="AG22" i="27"/>
  <c r="AF22" i="27"/>
  <c r="AW21" i="27"/>
  <c r="AL21" i="27"/>
  <c r="AG21" i="27"/>
  <c r="AF21" i="27"/>
  <c r="AW20" i="27"/>
  <c r="AL20" i="27"/>
  <c r="AG20" i="27"/>
  <c r="AF20" i="27"/>
  <c r="AW19" i="27"/>
  <c r="AL19" i="27"/>
  <c r="AG19" i="27"/>
  <c r="AF19" i="27"/>
  <c r="F19" i="27"/>
  <c r="AW18" i="27"/>
  <c r="AL18" i="27"/>
  <c r="AG18" i="27"/>
  <c r="AF18" i="27"/>
  <c r="AW17" i="27"/>
  <c r="AL17" i="27"/>
  <c r="AG17" i="27"/>
  <c r="AF17" i="27"/>
  <c r="AD8" i="27"/>
  <c r="AD7" i="27"/>
  <c r="AD6" i="27"/>
  <c r="AD5" i="27"/>
  <c r="AW32" i="26"/>
  <c r="AV32" i="26"/>
  <c r="AL32" i="26"/>
  <c r="AG32" i="26"/>
  <c r="AF32" i="26"/>
  <c r="AK32" i="26" s="1"/>
  <c r="AW31" i="26"/>
  <c r="AL31" i="26"/>
  <c r="AG31" i="26"/>
  <c r="AF31" i="26"/>
  <c r="AW30" i="26"/>
  <c r="AL30" i="26"/>
  <c r="AG30" i="26"/>
  <c r="AF30" i="26"/>
  <c r="AW29" i="26"/>
  <c r="AL29" i="26"/>
  <c r="AG29" i="26"/>
  <c r="AF29" i="26"/>
  <c r="AW28" i="26"/>
  <c r="AL28" i="26"/>
  <c r="AG28" i="26"/>
  <c r="AF28" i="26"/>
  <c r="AW27" i="26"/>
  <c r="AL27" i="26"/>
  <c r="AG27" i="26"/>
  <c r="AF27" i="26"/>
  <c r="AW26" i="26"/>
  <c r="AL26" i="26"/>
  <c r="AG26" i="26"/>
  <c r="AF26" i="26"/>
  <c r="AW23" i="26"/>
  <c r="AV23" i="26"/>
  <c r="AL23" i="26"/>
  <c r="AG23" i="26"/>
  <c r="AF23" i="26"/>
  <c r="AW22" i="26"/>
  <c r="AL22" i="26"/>
  <c r="AG22" i="26"/>
  <c r="AF22" i="26"/>
  <c r="AW21" i="26"/>
  <c r="AL21" i="26"/>
  <c r="AG21" i="26"/>
  <c r="AF21" i="26"/>
  <c r="AW20" i="26"/>
  <c r="AL20" i="26"/>
  <c r="AG20" i="26"/>
  <c r="AF20" i="26"/>
  <c r="AW19" i="26"/>
  <c r="AL19" i="26"/>
  <c r="AG19" i="26"/>
  <c r="AF19" i="26"/>
  <c r="F19" i="26"/>
  <c r="AW18" i="26"/>
  <c r="AL18" i="26"/>
  <c r="AG18" i="26"/>
  <c r="AF18" i="26"/>
  <c r="AW17" i="26"/>
  <c r="AL17" i="26"/>
  <c r="AG17" i="26"/>
  <c r="AF17" i="26"/>
  <c r="AD8" i="26"/>
  <c r="AD7" i="26"/>
  <c r="AD6" i="26"/>
  <c r="AD5" i="26"/>
  <c r="AW32" i="25"/>
  <c r="AV32" i="25"/>
  <c r="AL32" i="25"/>
  <c r="AG32" i="25"/>
  <c r="AF32" i="25"/>
  <c r="AK32" i="25" s="1"/>
  <c r="AW31" i="25"/>
  <c r="AL31" i="25"/>
  <c r="AG31" i="25"/>
  <c r="AF31" i="25"/>
  <c r="AW30" i="25"/>
  <c r="AL30" i="25"/>
  <c r="AG30" i="25"/>
  <c r="AF30" i="25"/>
  <c r="AW29" i="25"/>
  <c r="AL29" i="25"/>
  <c r="AG29" i="25"/>
  <c r="AF29" i="25"/>
  <c r="AW28" i="25"/>
  <c r="AL28" i="25"/>
  <c r="AG28" i="25"/>
  <c r="AF28" i="25"/>
  <c r="AW27" i="25"/>
  <c r="AL27" i="25"/>
  <c r="AG27" i="25"/>
  <c r="AF27" i="25"/>
  <c r="AW26" i="25"/>
  <c r="AL26" i="25"/>
  <c r="AG26" i="25"/>
  <c r="AF26" i="25"/>
  <c r="AW23" i="25"/>
  <c r="AV23" i="25"/>
  <c r="AL23" i="25"/>
  <c r="AG23" i="25"/>
  <c r="AF23" i="25"/>
  <c r="AK23" i="25" s="1"/>
  <c r="AW22" i="25"/>
  <c r="AL22" i="25"/>
  <c r="AG22" i="25"/>
  <c r="AF22" i="25"/>
  <c r="AW21" i="25"/>
  <c r="AL21" i="25"/>
  <c r="AG21" i="25"/>
  <c r="AF21" i="25"/>
  <c r="AW20" i="25"/>
  <c r="AL20" i="25"/>
  <c r="AG20" i="25"/>
  <c r="AF20" i="25"/>
  <c r="AW19" i="25"/>
  <c r="AL19" i="25"/>
  <c r="AG19" i="25"/>
  <c r="AF19" i="25"/>
  <c r="F19" i="25"/>
  <c r="AW18" i="25"/>
  <c r="AL18" i="25"/>
  <c r="AG18" i="25"/>
  <c r="AF18" i="25"/>
  <c r="AW17" i="25"/>
  <c r="AL17" i="25"/>
  <c r="AG17" i="25"/>
  <c r="AF17" i="25"/>
  <c r="AD8" i="25"/>
  <c r="AD7" i="25"/>
  <c r="AD6" i="25"/>
  <c r="AD5" i="25"/>
  <c r="AW32" i="24"/>
  <c r="AV32" i="24"/>
  <c r="AL32" i="24"/>
  <c r="AG32" i="24"/>
  <c r="AF32" i="24"/>
  <c r="AK32" i="24" s="1"/>
  <c r="AW31" i="24"/>
  <c r="AL31" i="24"/>
  <c r="AG31" i="24"/>
  <c r="AF31" i="24"/>
  <c r="AW30" i="24"/>
  <c r="AL30" i="24"/>
  <c r="AG30" i="24"/>
  <c r="AF30" i="24"/>
  <c r="AW29" i="24"/>
  <c r="AL29" i="24"/>
  <c r="AG29" i="24"/>
  <c r="AF29" i="24"/>
  <c r="AW28" i="24"/>
  <c r="AL28" i="24"/>
  <c r="AG28" i="24"/>
  <c r="AF28" i="24"/>
  <c r="AW27" i="24"/>
  <c r="AL27" i="24"/>
  <c r="AG27" i="24"/>
  <c r="AF27" i="24"/>
  <c r="AW26" i="24"/>
  <c r="AL26" i="24"/>
  <c r="AG26" i="24"/>
  <c r="AF26" i="24"/>
  <c r="AW23" i="24"/>
  <c r="AV23" i="24"/>
  <c r="AL23" i="24"/>
  <c r="AG23" i="24"/>
  <c r="AF23" i="24"/>
  <c r="AK23" i="24" s="1"/>
  <c r="AW22" i="24"/>
  <c r="AL22" i="24"/>
  <c r="AG22" i="24"/>
  <c r="AF22" i="24"/>
  <c r="AW21" i="24"/>
  <c r="AL21" i="24"/>
  <c r="AG21" i="24"/>
  <c r="AF21" i="24"/>
  <c r="AW20" i="24"/>
  <c r="AL20" i="24"/>
  <c r="AG20" i="24"/>
  <c r="AF20" i="24"/>
  <c r="AW19" i="24"/>
  <c r="AL19" i="24"/>
  <c r="AG19" i="24"/>
  <c r="AF19" i="24"/>
  <c r="F19" i="24"/>
  <c r="AW18" i="24"/>
  <c r="AL18" i="24"/>
  <c r="AG18" i="24"/>
  <c r="AF18" i="24"/>
  <c r="AW17" i="24"/>
  <c r="AL17" i="24"/>
  <c r="AG17" i="24"/>
  <c r="AF17" i="24"/>
  <c r="AD8" i="24"/>
  <c r="AD7" i="24"/>
  <c r="AD6" i="24"/>
  <c r="AD5" i="24"/>
  <c r="AW32" i="23"/>
  <c r="AV32" i="23"/>
  <c r="AL32" i="23"/>
  <c r="AG32" i="23"/>
  <c r="AF32" i="23"/>
  <c r="AK32" i="23" s="1"/>
  <c r="AW31" i="23"/>
  <c r="AL31" i="23"/>
  <c r="AG31" i="23"/>
  <c r="AF31" i="23"/>
  <c r="AW30" i="23"/>
  <c r="AL30" i="23"/>
  <c r="AG30" i="23"/>
  <c r="AF30" i="23"/>
  <c r="AW29" i="23"/>
  <c r="AL29" i="23"/>
  <c r="AG29" i="23"/>
  <c r="AF29" i="23"/>
  <c r="AW28" i="23"/>
  <c r="AL28" i="23"/>
  <c r="AG28" i="23"/>
  <c r="AF28" i="23"/>
  <c r="AW27" i="23"/>
  <c r="AL27" i="23"/>
  <c r="AG27" i="23"/>
  <c r="AF27" i="23"/>
  <c r="AW26" i="23"/>
  <c r="AL26" i="23"/>
  <c r="AG26" i="23"/>
  <c r="AF26" i="23"/>
  <c r="AW23" i="23"/>
  <c r="AV23" i="23"/>
  <c r="AL23" i="23"/>
  <c r="AG23" i="23"/>
  <c r="AF23" i="23"/>
  <c r="AK23" i="23" s="1"/>
  <c r="AW22" i="23"/>
  <c r="AL22" i="23"/>
  <c r="AG22" i="23"/>
  <c r="AF22" i="23"/>
  <c r="AW21" i="23"/>
  <c r="AL21" i="23"/>
  <c r="AG21" i="23"/>
  <c r="AF21" i="23"/>
  <c r="AW20" i="23"/>
  <c r="AL20" i="23"/>
  <c r="AG20" i="23"/>
  <c r="AF20" i="23"/>
  <c r="AW19" i="23"/>
  <c r="AL19" i="23"/>
  <c r="AG19" i="23"/>
  <c r="AF19" i="23"/>
  <c r="F19" i="23"/>
  <c r="AW18" i="23"/>
  <c r="AL18" i="23"/>
  <c r="AG18" i="23"/>
  <c r="AF18" i="23"/>
  <c r="AW17" i="23"/>
  <c r="AL17" i="23"/>
  <c r="AG17" i="23"/>
  <c r="AF17" i="23"/>
  <c r="AD8" i="23"/>
  <c r="AD7" i="23"/>
  <c r="AD6" i="23"/>
  <c r="AD5" i="23"/>
  <c r="AW32" i="22"/>
  <c r="AV32" i="22"/>
  <c r="AL32" i="22"/>
  <c r="AG32" i="22"/>
  <c r="AF32" i="22"/>
  <c r="AK32" i="22" s="1"/>
  <c r="AW31" i="22"/>
  <c r="AL31" i="22"/>
  <c r="AG31" i="22"/>
  <c r="AF31" i="22"/>
  <c r="AW30" i="22"/>
  <c r="AL30" i="22"/>
  <c r="AG30" i="22"/>
  <c r="AF30" i="22"/>
  <c r="AW29" i="22"/>
  <c r="AL29" i="22"/>
  <c r="AG29" i="22"/>
  <c r="AF29" i="22"/>
  <c r="AW28" i="22"/>
  <c r="AL28" i="22"/>
  <c r="AG28" i="22"/>
  <c r="AF28" i="22"/>
  <c r="AW27" i="22"/>
  <c r="AL27" i="22"/>
  <c r="AG27" i="22"/>
  <c r="AF27" i="22"/>
  <c r="AW26" i="22"/>
  <c r="AL26" i="22"/>
  <c r="AG26" i="22"/>
  <c r="AF26" i="22"/>
  <c r="AW23" i="22"/>
  <c r="AV23" i="22"/>
  <c r="AL23" i="22"/>
  <c r="AG23" i="22"/>
  <c r="AF23" i="22"/>
  <c r="AK23" i="22" s="1"/>
  <c r="AW22" i="22"/>
  <c r="AL22" i="22"/>
  <c r="AG22" i="22"/>
  <c r="AF22" i="22"/>
  <c r="AW21" i="22"/>
  <c r="AL21" i="22"/>
  <c r="AG21" i="22"/>
  <c r="AF21" i="22"/>
  <c r="AW20" i="22"/>
  <c r="AL20" i="22"/>
  <c r="AG20" i="22"/>
  <c r="AF20" i="22"/>
  <c r="AW19" i="22"/>
  <c r="AL19" i="22"/>
  <c r="AG19" i="22"/>
  <c r="AF19" i="22"/>
  <c r="F19" i="22"/>
  <c r="AW18" i="22"/>
  <c r="AL18" i="22"/>
  <c r="AG18" i="22"/>
  <c r="AF18" i="22"/>
  <c r="AW17" i="22"/>
  <c r="AL17" i="22"/>
  <c r="AG17" i="22"/>
  <c r="AF17" i="22"/>
  <c r="AD8" i="22"/>
  <c r="AD7" i="22"/>
  <c r="AD6" i="22"/>
  <c r="AD5" i="22"/>
  <c r="AW32" i="3"/>
  <c r="AL32" i="3"/>
  <c r="AG32" i="3"/>
  <c r="AF32" i="3"/>
  <c r="AW31" i="3"/>
  <c r="AL31" i="3"/>
  <c r="AG31" i="3"/>
  <c r="AF31" i="3"/>
  <c r="AW30" i="3"/>
  <c r="AL30" i="3"/>
  <c r="AG30" i="3"/>
  <c r="AF30" i="3"/>
  <c r="AW29" i="3"/>
  <c r="AL29" i="3"/>
  <c r="AG29" i="3"/>
  <c r="AF29" i="3"/>
  <c r="AW28" i="3"/>
  <c r="AL28" i="3"/>
  <c r="AG28" i="3"/>
  <c r="AF28" i="3"/>
  <c r="AW27" i="3"/>
  <c r="AL27" i="3"/>
  <c r="AG27" i="3"/>
  <c r="AF27" i="3"/>
  <c r="AW26" i="3"/>
  <c r="AL26" i="3"/>
  <c r="AG26" i="3"/>
  <c r="AF26" i="3"/>
  <c r="AW23" i="3"/>
  <c r="AL23" i="3"/>
  <c r="AG23" i="3"/>
  <c r="AF23" i="3"/>
  <c r="AW22" i="3"/>
  <c r="AL22" i="3"/>
  <c r="AG22" i="3"/>
  <c r="AF22" i="3"/>
  <c r="AW21" i="3"/>
  <c r="AL21" i="3"/>
  <c r="AG21" i="3"/>
  <c r="AF21" i="3"/>
  <c r="AW20" i="3"/>
  <c r="AL20" i="3"/>
  <c r="AG20" i="3"/>
  <c r="AF20" i="3"/>
  <c r="AW19" i="3"/>
  <c r="AL19" i="3"/>
  <c r="AG19" i="3"/>
  <c r="AF19" i="3"/>
  <c r="F19" i="3"/>
  <c r="AW18" i="3"/>
  <c r="AL18" i="3"/>
  <c r="AG18" i="3"/>
  <c r="AF18" i="3"/>
  <c r="AW17" i="3"/>
  <c r="AL17" i="3"/>
  <c r="AG17" i="3"/>
  <c r="AF17" i="3"/>
  <c r="AD8" i="3"/>
  <c r="AD7" i="3"/>
  <c r="AD6" i="3"/>
  <c r="AD5" i="3"/>
  <c r="Q36" i="7"/>
  <c r="AE43" i="33" l="1"/>
  <c r="AH19" i="31"/>
  <c r="AH18" i="28"/>
  <c r="AH31" i="28"/>
  <c r="AH26" i="31"/>
  <c r="AH26" i="28"/>
  <c r="AH31" i="33"/>
  <c r="AH31" i="32"/>
  <c r="AJ18" i="33"/>
  <c r="AD14" i="28"/>
  <c r="AH28" i="31"/>
  <c r="AH17" i="28"/>
  <c r="AH18" i="33"/>
  <c r="AE43" i="29"/>
  <c r="AJ21" i="31"/>
  <c r="AK20" i="33"/>
  <c r="AD17" i="33" s="1"/>
  <c r="AH20" i="28"/>
  <c r="AK29" i="28"/>
  <c r="AH21" i="31"/>
  <c r="AJ26" i="32"/>
  <c r="AH29" i="26"/>
  <c r="AE43" i="30"/>
  <c r="AJ20" i="31"/>
  <c r="AJ30" i="28"/>
  <c r="AH23" i="29"/>
  <c r="AH32" i="31"/>
  <c r="AD14" i="32"/>
  <c r="AJ18" i="32"/>
  <c r="AH23" i="32"/>
  <c r="AJ27" i="32"/>
  <c r="AJ30" i="32"/>
  <c r="AH19" i="33"/>
  <c r="AJ20" i="28"/>
  <c r="AD13" i="29"/>
  <c r="AJ23" i="29"/>
  <c r="AJ32" i="31"/>
  <c r="AH32" i="33"/>
  <c r="AH19" i="32"/>
  <c r="AH29" i="28"/>
  <c r="AJ23" i="30"/>
  <c r="AK30" i="30"/>
  <c r="AH27" i="32"/>
  <c r="AH20" i="33"/>
  <c r="AD13" i="28"/>
  <c r="AJ23" i="32"/>
  <c r="AH21" i="33"/>
  <c r="AJ32" i="33"/>
  <c r="AD35" i="28"/>
  <c r="AF35" i="28" s="1"/>
  <c r="AK22" i="28"/>
  <c r="AH30" i="28"/>
  <c r="AD13" i="30"/>
  <c r="AH23" i="30"/>
  <c r="AD13" i="31"/>
  <c r="AH20" i="31"/>
  <c r="AH26" i="32"/>
  <c r="AH30" i="32"/>
  <c r="AJ21" i="33"/>
  <c r="AE43" i="28"/>
  <c r="AH30" i="31"/>
  <c r="AH26" i="33"/>
  <c r="AJ17" i="28"/>
  <c r="AJ18" i="28"/>
  <c r="AH21" i="29"/>
  <c r="AH32" i="29"/>
  <c r="AJ26" i="31"/>
  <c r="AJ27" i="31"/>
  <c r="AH23" i="33"/>
  <c r="AJ26" i="33"/>
  <c r="AJ27" i="33"/>
  <c r="AD4" i="33"/>
  <c r="AE39" i="33" s="1"/>
  <c r="AH30" i="33"/>
  <c r="AK31" i="33"/>
  <c r="AD18" i="33" s="1"/>
  <c r="AK17" i="28"/>
  <c r="AK18" i="28"/>
  <c r="AH23" i="28"/>
  <c r="AJ26" i="28"/>
  <c r="AJ20" i="29"/>
  <c r="AJ21" i="29"/>
  <c r="AD4" i="29"/>
  <c r="AE39" i="29" s="1"/>
  <c r="AJ32" i="29"/>
  <c r="AD14" i="30"/>
  <c r="AH18" i="30"/>
  <c r="AH21" i="30"/>
  <c r="AH31" i="30"/>
  <c r="AJ32" i="30"/>
  <c r="AD14" i="31"/>
  <c r="AJ18" i="31"/>
  <c r="AH23" i="31"/>
  <c r="AK26" i="31"/>
  <c r="AJ30" i="31"/>
  <c r="AH20" i="32"/>
  <c r="AD3" i="33"/>
  <c r="AE38" i="33" s="1"/>
  <c r="AJ23" i="33"/>
  <c r="AJ30" i="33"/>
  <c r="AD3" i="28"/>
  <c r="AE38" i="28" s="1"/>
  <c r="AK26" i="28"/>
  <c r="AH32" i="28"/>
  <c r="AH18" i="29"/>
  <c r="AH19" i="29"/>
  <c r="AH26" i="29"/>
  <c r="AH30" i="29"/>
  <c r="AJ21" i="30"/>
  <c r="AH26" i="30"/>
  <c r="AH30" i="30"/>
  <c r="AJ23" i="31"/>
  <c r="AK30" i="31"/>
  <c r="AE43" i="32"/>
  <c r="AH21" i="32"/>
  <c r="AH20" i="29"/>
  <c r="AH18" i="31"/>
  <c r="AH27" i="31"/>
  <c r="AH27" i="33"/>
  <c r="AH20" i="30"/>
  <c r="AH32" i="30"/>
  <c r="AH22" i="28"/>
  <c r="AD4" i="28"/>
  <c r="AE39" i="28" s="1"/>
  <c r="AD14" i="29"/>
  <c r="AH27" i="29"/>
  <c r="AJ18" i="30"/>
  <c r="AH19" i="30"/>
  <c r="AK20" i="30"/>
  <c r="AH27" i="30"/>
  <c r="AH18" i="32"/>
  <c r="AJ20" i="32"/>
  <c r="AJ21" i="32"/>
  <c r="AH32" i="32"/>
  <c r="AD14" i="33"/>
  <c r="AJ18" i="29"/>
  <c r="AJ26" i="29"/>
  <c r="AJ27" i="29"/>
  <c r="AJ30" i="29"/>
  <c r="AK18" i="30"/>
  <c r="AJ26" i="30"/>
  <c r="AJ27" i="30"/>
  <c r="AK20" i="32"/>
  <c r="AJ32" i="32"/>
  <c r="AH18" i="22"/>
  <c r="AH26" i="24"/>
  <c r="AH20" i="23"/>
  <c r="AH22" i="23"/>
  <c r="AH26" i="22"/>
  <c r="AH30" i="22"/>
  <c r="AH17" i="32"/>
  <c r="AJ17" i="32"/>
  <c r="AH29" i="32"/>
  <c r="AJ29" i="32"/>
  <c r="AK29" i="32"/>
  <c r="AK31" i="31"/>
  <c r="AJ31" i="31"/>
  <c r="AK23" i="28"/>
  <c r="AH22" i="31"/>
  <c r="AJ22" i="31"/>
  <c r="AJ21" i="28"/>
  <c r="AJ27" i="28"/>
  <c r="AH28" i="28"/>
  <c r="AJ28" i="28"/>
  <c r="AD43" i="29"/>
  <c r="AK19" i="29"/>
  <c r="AJ28" i="29"/>
  <c r="AH28" i="29"/>
  <c r="AD4" i="30"/>
  <c r="AE39" i="30" s="1"/>
  <c r="AH29" i="31"/>
  <c r="AJ29" i="31"/>
  <c r="AK29" i="31"/>
  <c r="AH31" i="31"/>
  <c r="AD3" i="32"/>
  <c r="AE38" i="32" s="1"/>
  <c r="AJ28" i="30"/>
  <c r="AK28" i="30"/>
  <c r="AH28" i="30"/>
  <c r="AJ19" i="31"/>
  <c r="AD35" i="31"/>
  <c r="AF35" i="31" s="1"/>
  <c r="AJ28" i="32"/>
  <c r="AK28" i="32"/>
  <c r="AD35" i="30"/>
  <c r="AF35" i="30" s="1"/>
  <c r="AE43" i="31"/>
  <c r="AD13" i="33"/>
  <c r="AH17" i="29"/>
  <c r="AJ17" i="29"/>
  <c r="AH28" i="32"/>
  <c r="AH29" i="29"/>
  <c r="AJ29" i="29"/>
  <c r="AD43" i="28"/>
  <c r="AJ32" i="28"/>
  <c r="AK17" i="29"/>
  <c r="AK29" i="29"/>
  <c r="AK22" i="31"/>
  <c r="AJ28" i="31"/>
  <c r="AK28" i="31"/>
  <c r="AK31" i="32"/>
  <c r="AJ31" i="32"/>
  <c r="AH22" i="32"/>
  <c r="AJ22" i="32"/>
  <c r="AK22" i="32"/>
  <c r="AJ23" i="28"/>
  <c r="AH31" i="29"/>
  <c r="AK31" i="29"/>
  <c r="AJ19" i="29"/>
  <c r="AD43" i="32"/>
  <c r="AD13" i="32"/>
  <c r="AK17" i="32"/>
  <c r="AH19" i="28"/>
  <c r="AJ19" i="28"/>
  <c r="AD3" i="30"/>
  <c r="AE38" i="30" s="1"/>
  <c r="AJ31" i="30"/>
  <c r="AK19" i="31"/>
  <c r="AD35" i="32"/>
  <c r="AF35" i="32" s="1"/>
  <c r="AH21" i="28"/>
  <c r="AH27" i="28"/>
  <c r="AK31" i="28"/>
  <c r="AJ31" i="28"/>
  <c r="AK28" i="29"/>
  <c r="AD35" i="29"/>
  <c r="AF35" i="29" s="1"/>
  <c r="AH29" i="30"/>
  <c r="AJ29" i="30"/>
  <c r="AK29" i="30"/>
  <c r="AK31" i="30"/>
  <c r="AD3" i="31"/>
  <c r="AE38" i="31" s="1"/>
  <c r="AJ19" i="33"/>
  <c r="AE43" i="27"/>
  <c r="AJ19" i="30"/>
  <c r="AD4" i="31"/>
  <c r="AE39" i="31" s="1"/>
  <c r="AD4" i="32"/>
  <c r="AE39" i="32" s="1"/>
  <c r="AJ31" i="33"/>
  <c r="AD43" i="33"/>
  <c r="AH17" i="33"/>
  <c r="AJ17" i="33"/>
  <c r="AH29" i="33"/>
  <c r="AJ29" i="33"/>
  <c r="AD3" i="29"/>
  <c r="AE38" i="29" s="1"/>
  <c r="AH22" i="30"/>
  <c r="AJ22" i="30"/>
  <c r="AD43" i="31"/>
  <c r="AH17" i="31"/>
  <c r="AJ17" i="31"/>
  <c r="AH22" i="33"/>
  <c r="AJ22" i="33"/>
  <c r="AD35" i="33"/>
  <c r="AF35" i="33" s="1"/>
  <c r="AJ28" i="33"/>
  <c r="AH20" i="22"/>
  <c r="AH22" i="22"/>
  <c r="AH26" i="23"/>
  <c r="AH17" i="25"/>
  <c r="AH19" i="26"/>
  <c r="AH27" i="27"/>
  <c r="AH29" i="27"/>
  <c r="AH31" i="27"/>
  <c r="AH22" i="29"/>
  <c r="AJ22" i="29"/>
  <c r="AD43" i="30"/>
  <c r="AH17" i="30"/>
  <c r="AJ17" i="30"/>
  <c r="AJ19" i="32"/>
  <c r="AH28" i="33"/>
  <c r="AK32" i="27"/>
  <c r="AH18" i="27"/>
  <c r="AD3" i="27"/>
  <c r="AE38" i="27" s="1"/>
  <c r="AD14" i="27"/>
  <c r="AJ30" i="27" s="1"/>
  <c r="AH20" i="27"/>
  <c r="AH26" i="27"/>
  <c r="AH26" i="26"/>
  <c r="AH26" i="3"/>
  <c r="AH17" i="23"/>
  <c r="AH17" i="22"/>
  <c r="AH21" i="3"/>
  <c r="AD4" i="26"/>
  <c r="AE39" i="26" s="1"/>
  <c r="AH20" i="24"/>
  <c r="AH22" i="24"/>
  <c r="AH19" i="23"/>
  <c r="AH29" i="23"/>
  <c r="AH19" i="22"/>
  <c r="AH22" i="3"/>
  <c r="AH23" i="3"/>
  <c r="AH29" i="3"/>
  <c r="AH17" i="26"/>
  <c r="AH20" i="26"/>
  <c r="AH20" i="25"/>
  <c r="AD4" i="24"/>
  <c r="AE39" i="24" s="1"/>
  <c r="AH29" i="24"/>
  <c r="AH18" i="3"/>
  <c r="AH21" i="27"/>
  <c r="AH32" i="27"/>
  <c r="AH17" i="27"/>
  <c r="AH22" i="27"/>
  <c r="AH30" i="27"/>
  <c r="AH23" i="26"/>
  <c r="AH30" i="26"/>
  <c r="AH22" i="26"/>
  <c r="AD4" i="25"/>
  <c r="AE39" i="25" s="1"/>
  <c r="AE43" i="25"/>
  <c r="AD14" i="25"/>
  <c r="AJ28" i="25" s="1"/>
  <c r="AH26" i="25"/>
  <c r="AH28" i="25"/>
  <c r="AH30" i="25"/>
  <c r="AH19" i="25"/>
  <c r="AD35" i="24"/>
  <c r="AF35" i="24" s="1"/>
  <c r="AD14" i="24"/>
  <c r="AJ30" i="24" s="1"/>
  <c r="AH30" i="24"/>
  <c r="AH17" i="24"/>
  <c r="AH19" i="24"/>
  <c r="AD14" i="23"/>
  <c r="AJ28" i="23" s="1"/>
  <c r="AH30" i="23"/>
  <c r="AD3" i="23"/>
  <c r="AE38" i="23" s="1"/>
  <c r="AH28" i="22"/>
  <c r="AH29" i="22"/>
  <c r="AH30" i="3"/>
  <c r="AD13" i="3"/>
  <c r="AJ20" i="3" s="1"/>
  <c r="AH20" i="3"/>
  <c r="AH19" i="27"/>
  <c r="AH23" i="27"/>
  <c r="AD43" i="27"/>
  <c r="AK23" i="27"/>
  <c r="AD4" i="27"/>
  <c r="AE39" i="27" s="1"/>
  <c r="AE43" i="26"/>
  <c r="AD35" i="26"/>
  <c r="AF35" i="26" s="1"/>
  <c r="AH22" i="25"/>
  <c r="AD13" i="25"/>
  <c r="AJ20" i="25" s="1"/>
  <c r="AD43" i="25"/>
  <c r="AD35" i="25"/>
  <c r="AF35" i="25" s="1"/>
  <c r="AH29" i="25"/>
  <c r="AE43" i="24"/>
  <c r="AD13" i="24"/>
  <c r="AJ17" i="24" s="1"/>
  <c r="AD35" i="23"/>
  <c r="AF35" i="23" s="1"/>
  <c r="AD14" i="22"/>
  <c r="AJ31" i="22" s="1"/>
  <c r="AD35" i="22"/>
  <c r="AF35" i="22" s="1"/>
  <c r="AD4" i="22"/>
  <c r="AE39" i="22" s="1"/>
  <c r="AD13" i="22"/>
  <c r="AJ17" i="22" s="1"/>
  <c r="AD3" i="22"/>
  <c r="AE38" i="22" s="1"/>
  <c r="AD3" i="3"/>
  <c r="AE38" i="3" s="1"/>
  <c r="AE43" i="3"/>
  <c r="AD35" i="3"/>
  <c r="AF35" i="3" s="1"/>
  <c r="AH17" i="3"/>
  <c r="AD4" i="3"/>
  <c r="AE39" i="3" s="1"/>
  <c r="AD13" i="27"/>
  <c r="AJ21" i="27" s="1"/>
  <c r="AH28" i="27"/>
  <c r="AD35" i="27"/>
  <c r="AF35" i="27" s="1"/>
  <c r="AD14" i="26"/>
  <c r="AJ31" i="26" s="1"/>
  <c r="AD3" i="26"/>
  <c r="AE38" i="26" s="1"/>
  <c r="AD43" i="26"/>
  <c r="AD13" i="26"/>
  <c r="AJ18" i="26" s="1"/>
  <c r="AH31" i="26"/>
  <c r="AH32" i="26"/>
  <c r="AH18" i="26"/>
  <c r="AH21" i="26"/>
  <c r="AH27" i="26"/>
  <c r="AJ23" i="26"/>
  <c r="AH28" i="26"/>
  <c r="AJ32" i="26"/>
  <c r="AK23" i="26"/>
  <c r="AD3" i="25"/>
  <c r="AE38" i="25" s="1"/>
  <c r="AH31" i="25"/>
  <c r="AH18" i="25"/>
  <c r="AH21" i="25"/>
  <c r="AH23" i="25"/>
  <c r="AH27" i="25"/>
  <c r="AH32" i="25"/>
  <c r="AJ23" i="25"/>
  <c r="AJ32" i="25"/>
  <c r="AD43" i="24"/>
  <c r="AH18" i="24"/>
  <c r="AH31" i="24"/>
  <c r="AH27" i="24"/>
  <c r="AJ23" i="24"/>
  <c r="AH28" i="24"/>
  <c r="AJ32" i="24"/>
  <c r="AH21" i="24"/>
  <c r="AH23" i="24"/>
  <c r="AH32" i="24"/>
  <c r="AD3" i="24"/>
  <c r="AE38" i="24" s="1"/>
  <c r="AD4" i="23"/>
  <c r="AE39" i="23" s="1"/>
  <c r="AD43" i="23"/>
  <c r="AD13" i="23"/>
  <c r="AH31" i="23"/>
  <c r="AE43" i="23"/>
  <c r="AJ23" i="23"/>
  <c r="AH28" i="23"/>
  <c r="AJ32" i="23"/>
  <c r="AH18" i="23"/>
  <c r="AH21" i="23"/>
  <c r="AH23" i="23"/>
  <c r="AH27" i="23"/>
  <c r="AH32" i="23"/>
  <c r="AD43" i="22"/>
  <c r="AH31" i="22"/>
  <c r="AE43" i="22"/>
  <c r="AH23" i="22"/>
  <c r="AH32" i="22"/>
  <c r="AH21" i="22"/>
  <c r="AH27" i="22"/>
  <c r="AJ32" i="22"/>
  <c r="AJ23" i="22"/>
  <c r="AD14" i="3"/>
  <c r="AJ30" i="3" s="1"/>
  <c r="AD43" i="3"/>
  <c r="AH31" i="3"/>
  <c r="AH27" i="3"/>
  <c r="AH32" i="3"/>
  <c r="AH19" i="3"/>
  <c r="AH28" i="3"/>
  <c r="AD17" i="28" l="1"/>
  <c r="AD18" i="28"/>
  <c r="AJ18" i="3"/>
  <c r="AD17" i="31"/>
  <c r="AE41" i="32"/>
  <c r="AD22" i="32" s="1"/>
  <c r="AE41" i="30"/>
  <c r="AH38" i="30" s="1"/>
  <c r="O23" i="30" s="1"/>
  <c r="AD20" i="31"/>
  <c r="AD17" i="30"/>
  <c r="AE41" i="33"/>
  <c r="AH38" i="33" s="1"/>
  <c r="O23" i="33" s="1"/>
  <c r="AD10" i="28"/>
  <c r="AD12" i="28" s="1"/>
  <c r="AI30" i="28" s="1"/>
  <c r="AD17" i="32"/>
  <c r="AD18" i="31"/>
  <c r="AD18" i="30"/>
  <c r="AD20" i="33"/>
  <c r="AD10" i="33"/>
  <c r="AD12" i="33" s="1"/>
  <c r="AI29" i="33" s="1"/>
  <c r="AD9" i="33"/>
  <c r="AD11" i="33" s="1"/>
  <c r="AI19" i="33" s="1"/>
  <c r="AD9" i="28"/>
  <c r="AD11" i="28" s="1"/>
  <c r="AI18" i="28" s="1"/>
  <c r="AD18" i="29"/>
  <c r="AE41" i="28"/>
  <c r="AH38" i="28" s="1"/>
  <c r="O23" i="28" s="1"/>
  <c r="AD18" i="32"/>
  <c r="AD19" i="30"/>
  <c r="AD10" i="32"/>
  <c r="AD12" i="32" s="1"/>
  <c r="AI27" i="32" s="1"/>
  <c r="AD19" i="32"/>
  <c r="AD20" i="32"/>
  <c r="AD9" i="30"/>
  <c r="AD11" i="30" s="1"/>
  <c r="AI23" i="30" s="1"/>
  <c r="AD20" i="29"/>
  <c r="AD9" i="32"/>
  <c r="AD11" i="32" s="1"/>
  <c r="AI19" i="32" s="1"/>
  <c r="AD20" i="30"/>
  <c r="AD10" i="31"/>
  <c r="AD12" i="31" s="1"/>
  <c r="AI27" i="31" s="1"/>
  <c r="AD9" i="31"/>
  <c r="AD11" i="31" s="1"/>
  <c r="AI22" i="31" s="1"/>
  <c r="AD19" i="33"/>
  <c r="AD10" i="30"/>
  <c r="AD12" i="30" s="1"/>
  <c r="AI32" i="30" s="1"/>
  <c r="AD19" i="28"/>
  <c r="AJ27" i="27"/>
  <c r="AJ20" i="22"/>
  <c r="AJ21" i="22"/>
  <c r="AJ19" i="22"/>
  <c r="AJ18" i="27"/>
  <c r="AJ17" i="25"/>
  <c r="AJ28" i="27"/>
  <c r="AJ29" i="27"/>
  <c r="AJ21" i="25"/>
  <c r="AJ23" i="3"/>
  <c r="AJ32" i="3"/>
  <c r="AJ17" i="3"/>
  <c r="AJ22" i="27"/>
  <c r="AJ31" i="27"/>
  <c r="AJ18" i="22"/>
  <c r="AI28" i="28"/>
  <c r="AD17" i="29"/>
  <c r="AD9" i="29"/>
  <c r="AD11" i="29" s="1"/>
  <c r="AD10" i="29"/>
  <c r="AD12" i="29" s="1"/>
  <c r="AD20" i="28"/>
  <c r="AD19" i="29"/>
  <c r="AD19" i="31"/>
  <c r="AE41" i="29"/>
  <c r="AH38" i="29" s="1"/>
  <c r="O23" i="29" s="1"/>
  <c r="AE41" i="31"/>
  <c r="AH38" i="31" s="1"/>
  <c r="O23" i="31" s="1"/>
  <c r="AJ26" i="27"/>
  <c r="AD9" i="27"/>
  <c r="AD11" i="27" s="1"/>
  <c r="AI19" i="27" s="1"/>
  <c r="AD10" i="27"/>
  <c r="AD12" i="27" s="1"/>
  <c r="AI32" i="27" s="1"/>
  <c r="AJ27" i="26"/>
  <c r="AJ21" i="24"/>
  <c r="AJ30" i="23"/>
  <c r="AJ22" i="22"/>
  <c r="AJ21" i="3"/>
  <c r="AJ19" i="3"/>
  <c r="AJ22" i="3"/>
  <c r="AJ18" i="25"/>
  <c r="AJ22" i="25"/>
  <c r="AJ19" i="25"/>
  <c r="AJ27" i="23"/>
  <c r="AJ26" i="23"/>
  <c r="AJ31" i="25"/>
  <c r="AJ31" i="24"/>
  <c r="AJ20" i="24"/>
  <c r="AJ28" i="24"/>
  <c r="AJ27" i="24"/>
  <c r="AE41" i="24"/>
  <c r="AD22" i="24" s="1"/>
  <c r="AJ26" i="24"/>
  <c r="AJ18" i="24"/>
  <c r="AJ29" i="24"/>
  <c r="AJ19" i="24"/>
  <c r="AD9" i="22"/>
  <c r="AD11" i="22" s="1"/>
  <c r="AI17" i="22" s="1"/>
  <c r="AD9" i="26"/>
  <c r="AD11" i="26" s="1"/>
  <c r="AI23" i="26" s="1"/>
  <c r="AJ30" i="25"/>
  <c r="AJ27" i="25"/>
  <c r="AJ26" i="25"/>
  <c r="AJ29" i="25"/>
  <c r="AJ22" i="24"/>
  <c r="AD10" i="26"/>
  <c r="AD12" i="26" s="1"/>
  <c r="AI26" i="26" s="1"/>
  <c r="AD10" i="24"/>
  <c r="AD12" i="24" s="1"/>
  <c r="AI31" i="24" s="1"/>
  <c r="AD9" i="24"/>
  <c r="AD11" i="24" s="1"/>
  <c r="AI22" i="24" s="1"/>
  <c r="AJ29" i="23"/>
  <c r="AJ31" i="23"/>
  <c r="AJ28" i="22"/>
  <c r="AJ26" i="22"/>
  <c r="AJ29" i="22"/>
  <c r="AJ27" i="22"/>
  <c r="AJ30" i="22"/>
  <c r="AD10" i="22"/>
  <c r="AD12" i="22" s="1"/>
  <c r="AK28" i="22" s="1"/>
  <c r="AJ27" i="3"/>
  <c r="AE41" i="3"/>
  <c r="AD22" i="3" s="1"/>
  <c r="AE41" i="27"/>
  <c r="AH38" i="27" s="1"/>
  <c r="O23" i="27" s="1"/>
  <c r="AJ21" i="26"/>
  <c r="AD9" i="25"/>
  <c r="AD11" i="25" s="1"/>
  <c r="AK21" i="25" s="1"/>
  <c r="AD10" i="25"/>
  <c r="AD12" i="25" s="1"/>
  <c r="AI26" i="25" s="1"/>
  <c r="AD10" i="23"/>
  <c r="AD12" i="23" s="1"/>
  <c r="AK28" i="23" s="1"/>
  <c r="AD9" i="23"/>
  <c r="AD11" i="23" s="1"/>
  <c r="AI22" i="23" s="1"/>
  <c r="AE41" i="22"/>
  <c r="AH39" i="22" s="1"/>
  <c r="O24" i="22" s="1"/>
  <c r="AD9" i="3"/>
  <c r="AD11" i="3" s="1"/>
  <c r="AD10" i="3"/>
  <c r="AD12" i="3" s="1"/>
  <c r="AI30" i="3" s="1"/>
  <c r="AJ20" i="27"/>
  <c r="AJ17" i="27"/>
  <c r="AJ19" i="27"/>
  <c r="AJ26" i="26"/>
  <c r="AJ29" i="26"/>
  <c r="AJ30" i="26"/>
  <c r="AJ17" i="26"/>
  <c r="AJ19" i="26"/>
  <c r="AJ22" i="26"/>
  <c r="AJ20" i="26"/>
  <c r="AJ28" i="26"/>
  <c r="AE41" i="26"/>
  <c r="AE41" i="25"/>
  <c r="AH38" i="25" s="1"/>
  <c r="O23" i="25" s="1"/>
  <c r="AJ22" i="23"/>
  <c r="AJ19" i="23"/>
  <c r="AJ21" i="23"/>
  <c r="AE41" i="23"/>
  <c r="AH39" i="23" s="1"/>
  <c r="O24" i="23" s="1"/>
  <c r="AJ17" i="23"/>
  <c r="AJ18" i="23"/>
  <c r="AJ20" i="23"/>
  <c r="AJ28" i="3"/>
  <c r="AJ29" i="3"/>
  <c r="AJ31" i="3"/>
  <c r="AJ26" i="3"/>
  <c r="AI26" i="28" l="1"/>
  <c r="AD16" i="28" s="1"/>
  <c r="AD48" i="28" s="1"/>
  <c r="AI32" i="31"/>
  <c r="AI29" i="28"/>
  <c r="AD22" i="28"/>
  <c r="AH37" i="32"/>
  <c r="O22" i="32" s="1"/>
  <c r="AI20" i="33"/>
  <c r="AH39" i="32"/>
  <c r="O24" i="32" s="1"/>
  <c r="AI27" i="28"/>
  <c r="AI26" i="33"/>
  <c r="AD16" i="33" s="1"/>
  <c r="AD48" i="33" s="1"/>
  <c r="AI20" i="31"/>
  <c r="AH39" i="30"/>
  <c r="O24" i="30" s="1"/>
  <c r="AI21" i="33"/>
  <c r="AI29" i="30"/>
  <c r="AI28" i="33"/>
  <c r="AH38" i="32"/>
  <c r="O23" i="32" s="1"/>
  <c r="AI17" i="30"/>
  <c r="AD15" i="30" s="1"/>
  <c r="AD38" i="30" s="1"/>
  <c r="AF38" i="30" s="1"/>
  <c r="AI32" i="33"/>
  <c r="AI21" i="31"/>
  <c r="AD22" i="30"/>
  <c r="AI23" i="31"/>
  <c r="AI19" i="30"/>
  <c r="AI22" i="33"/>
  <c r="AI21" i="32"/>
  <c r="AI27" i="30"/>
  <c r="AI17" i="33"/>
  <c r="AD15" i="33" s="1"/>
  <c r="AD38" i="33" s="1"/>
  <c r="AF38" i="33" s="1"/>
  <c r="AI30" i="33"/>
  <c r="AH37" i="33"/>
  <c r="O22" i="33" s="1"/>
  <c r="AH39" i="33"/>
  <c r="O24" i="33" s="1"/>
  <c r="AI20" i="28"/>
  <c r="AI19" i="31"/>
  <c r="AI31" i="33"/>
  <c r="AH37" i="30"/>
  <c r="O22" i="30" s="1"/>
  <c r="AI22" i="30"/>
  <c r="AD22" i="33"/>
  <c r="AI18" i="33"/>
  <c r="AI17" i="31"/>
  <c r="AD15" i="31" s="1"/>
  <c r="AD38" i="31" s="1"/>
  <c r="AF38" i="31" s="1"/>
  <c r="AI18" i="31"/>
  <c r="AI23" i="33"/>
  <c r="AH37" i="28"/>
  <c r="O22" i="28" s="1"/>
  <c r="AI27" i="33"/>
  <c r="AI18" i="30"/>
  <c r="AI31" i="28"/>
  <c r="AH39" i="28"/>
  <c r="O24" i="28" s="1"/>
  <c r="AI20" i="30"/>
  <c r="AI31" i="32"/>
  <c r="AI32" i="28"/>
  <c r="AD39" i="28"/>
  <c r="AF39" i="28" s="1"/>
  <c r="AH39" i="31"/>
  <c r="O24" i="31" s="1"/>
  <c r="AI21" i="30"/>
  <c r="AI26" i="30"/>
  <c r="AD16" i="30" s="1"/>
  <c r="AD48" i="30" s="1"/>
  <c r="AD49" i="30" s="1"/>
  <c r="AI28" i="31"/>
  <c r="AI31" i="30"/>
  <c r="AI30" i="30"/>
  <c r="AI26" i="31"/>
  <c r="AD16" i="31" s="1"/>
  <c r="AI28" i="30"/>
  <c r="AI31" i="31"/>
  <c r="AI19" i="28"/>
  <c r="AI17" i="28"/>
  <c r="AD15" i="28" s="1"/>
  <c r="AI23" i="28"/>
  <c r="AI21" i="28"/>
  <c r="AI22" i="28"/>
  <c r="AI28" i="32"/>
  <c r="AI32" i="32"/>
  <c r="AI22" i="32"/>
  <c r="AI17" i="32"/>
  <c r="AD15" i="32" s="1"/>
  <c r="AI20" i="32"/>
  <c r="AI18" i="32"/>
  <c r="AI29" i="31"/>
  <c r="AI30" i="32"/>
  <c r="AI23" i="32"/>
  <c r="AI30" i="31"/>
  <c r="AI26" i="32"/>
  <c r="AD16" i="32" s="1"/>
  <c r="AD39" i="32" s="1"/>
  <c r="AF39" i="32" s="1"/>
  <c r="AI29" i="32"/>
  <c r="AD19" i="22"/>
  <c r="AI22" i="27"/>
  <c r="AK22" i="27"/>
  <c r="AK17" i="27"/>
  <c r="AI20" i="27"/>
  <c r="AK20" i="27"/>
  <c r="AK19" i="27"/>
  <c r="AI23" i="27"/>
  <c r="AI21" i="27"/>
  <c r="AI17" i="27"/>
  <c r="AH37" i="22"/>
  <c r="O22" i="22" s="1"/>
  <c r="AI29" i="27"/>
  <c r="AK26" i="27"/>
  <c r="AK27" i="27"/>
  <c r="AK18" i="27"/>
  <c r="AK28" i="27"/>
  <c r="AI18" i="27"/>
  <c r="AK31" i="27"/>
  <c r="AI32" i="24"/>
  <c r="AK26" i="24"/>
  <c r="AK27" i="24"/>
  <c r="AK17" i="24"/>
  <c r="AI17" i="24"/>
  <c r="AK18" i="22"/>
  <c r="AI23" i="22"/>
  <c r="AK30" i="22"/>
  <c r="AK32" i="3"/>
  <c r="AK21" i="3"/>
  <c r="AK23" i="3"/>
  <c r="AI27" i="27"/>
  <c r="AK21" i="27"/>
  <c r="AI28" i="27"/>
  <c r="AI26" i="27"/>
  <c r="AD20" i="27"/>
  <c r="AK30" i="27"/>
  <c r="AI30" i="27"/>
  <c r="AI31" i="27"/>
  <c r="AK26" i="22"/>
  <c r="AI27" i="29"/>
  <c r="AI30" i="29"/>
  <c r="AI32" i="29"/>
  <c r="AI26" i="29"/>
  <c r="AD16" i="29" s="1"/>
  <c r="AI29" i="29"/>
  <c r="AI31" i="29"/>
  <c r="AI28" i="29"/>
  <c r="AH39" i="24"/>
  <c r="O24" i="24" s="1"/>
  <c r="AI21" i="29"/>
  <c r="AI18" i="29"/>
  <c r="AI20" i="29"/>
  <c r="AI23" i="29"/>
  <c r="AI22" i="29"/>
  <c r="AI17" i="29"/>
  <c r="AD15" i="29" s="1"/>
  <c r="AI19" i="29"/>
  <c r="AD22" i="29"/>
  <c r="AH37" i="29"/>
  <c r="O22" i="29" s="1"/>
  <c r="AH39" i="29"/>
  <c r="O24" i="29" s="1"/>
  <c r="AH37" i="31"/>
  <c r="O22" i="31" s="1"/>
  <c r="AD22" i="31"/>
  <c r="AD19" i="3"/>
  <c r="AD49" i="28"/>
  <c r="AH38" i="24"/>
  <c r="O23" i="24" s="1"/>
  <c r="AH37" i="27"/>
  <c r="O22" i="27" s="1"/>
  <c r="AK29" i="27"/>
  <c r="AK17" i="25"/>
  <c r="AD19" i="25"/>
  <c r="AK19" i="24"/>
  <c r="AI19" i="24"/>
  <c r="AI30" i="24"/>
  <c r="AK29" i="24"/>
  <c r="AI28" i="24"/>
  <c r="AI29" i="24"/>
  <c r="AI20" i="23"/>
  <c r="AK29" i="23"/>
  <c r="AK20" i="22"/>
  <c r="AK19" i="22"/>
  <c r="AK17" i="22"/>
  <c r="AI32" i="26"/>
  <c r="AK27" i="26"/>
  <c r="AK17" i="26"/>
  <c r="AK18" i="26"/>
  <c r="AK19" i="26"/>
  <c r="AK22" i="26"/>
  <c r="AI20" i="26"/>
  <c r="AI18" i="26"/>
  <c r="AI21" i="26"/>
  <c r="AK21" i="26"/>
  <c r="AI27" i="24"/>
  <c r="AK31" i="24"/>
  <c r="AK28" i="24"/>
  <c r="AK21" i="24"/>
  <c r="AI20" i="24"/>
  <c r="AI21" i="24"/>
  <c r="AK22" i="24"/>
  <c r="AI26" i="24"/>
  <c r="AK30" i="24"/>
  <c r="AI18" i="24"/>
  <c r="AD19" i="24"/>
  <c r="AD20" i="24"/>
  <c r="AK30" i="23"/>
  <c r="AI20" i="22"/>
  <c r="AI18" i="22"/>
  <c r="AH37" i="3"/>
  <c r="O22" i="3" s="1"/>
  <c r="AI22" i="26"/>
  <c r="AI19" i="26"/>
  <c r="AK20" i="26"/>
  <c r="AI17" i="26"/>
  <c r="AD20" i="25"/>
  <c r="AK18" i="24"/>
  <c r="AK20" i="24"/>
  <c r="AH37" i="24"/>
  <c r="O22" i="24" s="1"/>
  <c r="AI23" i="24"/>
  <c r="AD20" i="23"/>
  <c r="AK20" i="23"/>
  <c r="AD20" i="22"/>
  <c r="AK21" i="22"/>
  <c r="AK22" i="22"/>
  <c r="AI21" i="22"/>
  <c r="AI22" i="22"/>
  <c r="AI19" i="22"/>
  <c r="AI29" i="26"/>
  <c r="AI28" i="26"/>
  <c r="AK30" i="26"/>
  <c r="AI31" i="26"/>
  <c r="AK31" i="26"/>
  <c r="AK26" i="26"/>
  <c r="AK28" i="26"/>
  <c r="AI27" i="26"/>
  <c r="AI30" i="26"/>
  <c r="AK29" i="26"/>
  <c r="AK30" i="25"/>
  <c r="AK17" i="23"/>
  <c r="AK22" i="23"/>
  <c r="AI21" i="23"/>
  <c r="AH38" i="22"/>
  <c r="O23" i="22" s="1"/>
  <c r="AD22" i="22"/>
  <c r="AK18" i="3"/>
  <c r="AK22" i="3"/>
  <c r="AH39" i="3"/>
  <c r="O24" i="3" s="1"/>
  <c r="AI23" i="3"/>
  <c r="AI17" i="3"/>
  <c r="AI22" i="3"/>
  <c r="AI18" i="3"/>
  <c r="AH38" i="3"/>
  <c r="O23" i="3" s="1"/>
  <c r="AI19" i="3"/>
  <c r="AI20" i="3"/>
  <c r="AK17" i="3"/>
  <c r="AD19" i="27"/>
  <c r="AD22" i="27"/>
  <c r="AK26" i="25"/>
  <c r="AI22" i="25"/>
  <c r="AI30" i="25"/>
  <c r="AI31" i="25"/>
  <c r="AK28" i="25"/>
  <c r="AI28" i="25"/>
  <c r="AI32" i="25"/>
  <c r="AK29" i="25"/>
  <c r="AI27" i="25"/>
  <c r="AI29" i="25"/>
  <c r="AK31" i="25"/>
  <c r="AK27" i="25"/>
  <c r="AI32" i="23"/>
  <c r="AI27" i="23"/>
  <c r="AK26" i="23"/>
  <c r="AK19" i="23"/>
  <c r="AI18" i="23"/>
  <c r="AI28" i="23"/>
  <c r="AI29" i="23"/>
  <c r="AK31" i="23"/>
  <c r="AK27" i="23"/>
  <c r="AI17" i="23"/>
  <c r="AI31" i="23"/>
  <c r="AI26" i="23"/>
  <c r="AK21" i="23"/>
  <c r="AI19" i="23"/>
  <c r="AI30" i="23"/>
  <c r="AK18" i="23"/>
  <c r="AI23" i="23"/>
  <c r="AI32" i="22"/>
  <c r="AI28" i="22"/>
  <c r="AI29" i="22"/>
  <c r="AI27" i="22"/>
  <c r="AI30" i="22"/>
  <c r="AK29" i="22"/>
  <c r="AI31" i="22"/>
  <c r="AI26" i="22"/>
  <c r="AK31" i="22"/>
  <c r="AK27" i="22"/>
  <c r="AI27" i="3"/>
  <c r="AK19" i="3"/>
  <c r="AI21" i="3"/>
  <c r="AH39" i="27"/>
  <c r="O24" i="27" s="1"/>
  <c r="AI19" i="25"/>
  <c r="AK19" i="25"/>
  <c r="AK18" i="25"/>
  <c r="AI18" i="25"/>
  <c r="AI23" i="25"/>
  <c r="AI20" i="25"/>
  <c r="AK20" i="25"/>
  <c r="AK22" i="25"/>
  <c r="AI21" i="25"/>
  <c r="AI17" i="25"/>
  <c r="AI26" i="3"/>
  <c r="AK28" i="3"/>
  <c r="AI29" i="3"/>
  <c r="AK29" i="3"/>
  <c r="AI32" i="3"/>
  <c r="AK30" i="3"/>
  <c r="AK26" i="3"/>
  <c r="AK20" i="3"/>
  <c r="AK31" i="3"/>
  <c r="AI28" i="3"/>
  <c r="AI31" i="3"/>
  <c r="AK27" i="3"/>
  <c r="AD19" i="26"/>
  <c r="AD20" i="26"/>
  <c r="AH37" i="26"/>
  <c r="O22" i="26" s="1"/>
  <c r="AD22" i="26"/>
  <c r="AH39" i="26"/>
  <c r="O24" i="26" s="1"/>
  <c r="AH38" i="26"/>
  <c r="O23" i="26" s="1"/>
  <c r="AD22" i="25"/>
  <c r="AH37" i="25"/>
  <c r="O22" i="25" s="1"/>
  <c r="AH39" i="25"/>
  <c r="O24" i="25" s="1"/>
  <c r="AD19" i="23"/>
  <c r="AH37" i="23"/>
  <c r="O22" i="23" s="1"/>
  <c r="AD22" i="23"/>
  <c r="AH38" i="23"/>
  <c r="O23" i="23" s="1"/>
  <c r="AD20" i="3"/>
  <c r="AD21" i="28" l="1"/>
  <c r="AD28" i="28" s="1"/>
  <c r="AC53" i="28" s="1"/>
  <c r="E19" i="28" s="1"/>
  <c r="AD39" i="33"/>
  <c r="AF39" i="33" s="1"/>
  <c r="AD21" i="31"/>
  <c r="AD28" i="31" s="1"/>
  <c r="AC53" i="31" s="1"/>
  <c r="E19" i="31" s="1"/>
  <c r="AD36" i="33"/>
  <c r="AF36" i="33" s="1"/>
  <c r="AD45" i="31"/>
  <c r="AD46" i="31" s="1"/>
  <c r="AD45" i="30"/>
  <c r="AD46" i="30" s="1"/>
  <c r="AD37" i="30"/>
  <c r="AF37" i="30" s="1"/>
  <c r="AD45" i="28"/>
  <c r="AD46" i="28" s="1"/>
  <c r="AD21" i="33"/>
  <c r="AD28" i="33" s="1"/>
  <c r="AC53" i="33" s="1"/>
  <c r="E19" i="33" s="1"/>
  <c r="AD36" i="30"/>
  <c r="AF36" i="30" s="1"/>
  <c r="AD37" i="33"/>
  <c r="AF37" i="33" s="1"/>
  <c r="AD45" i="33"/>
  <c r="AD46" i="33" s="1"/>
  <c r="AD38" i="28"/>
  <c r="AF38" i="28" s="1"/>
  <c r="AD39" i="31"/>
  <c r="AF39" i="31" s="1"/>
  <c r="AD21" i="30"/>
  <c r="AD28" i="30" s="1"/>
  <c r="AC53" i="30" s="1"/>
  <c r="E19" i="30" s="1"/>
  <c r="AD37" i="29"/>
  <c r="AF37" i="29" s="1"/>
  <c r="AD39" i="30"/>
  <c r="AF39" i="30" s="1"/>
  <c r="AD48" i="31"/>
  <c r="AD49" i="31" s="1"/>
  <c r="AD37" i="31"/>
  <c r="AF37" i="31" s="1"/>
  <c r="AD36" i="31"/>
  <c r="AF36" i="31" s="1"/>
  <c r="AD37" i="28"/>
  <c r="AF37" i="28" s="1"/>
  <c r="AD21" i="29"/>
  <c r="AD28" i="29" s="1"/>
  <c r="AC53" i="29" s="1"/>
  <c r="E19" i="29" s="1"/>
  <c r="AD36" i="28"/>
  <c r="AF36" i="28" s="1"/>
  <c r="AD38" i="32"/>
  <c r="AF38" i="32" s="1"/>
  <c r="AD45" i="32"/>
  <c r="AD46" i="32" s="1"/>
  <c r="AD21" i="32"/>
  <c r="AD28" i="32" s="1"/>
  <c r="AC53" i="32" s="1"/>
  <c r="E19" i="32" s="1"/>
  <c r="AD36" i="32"/>
  <c r="AF36" i="32" s="1"/>
  <c r="AD48" i="32"/>
  <c r="AD37" i="32"/>
  <c r="AF37" i="32" s="1"/>
  <c r="AD17" i="27"/>
  <c r="AD15" i="27"/>
  <c r="AD15" i="22"/>
  <c r="AD18" i="27"/>
  <c r="AD16" i="27"/>
  <c r="AD16" i="24"/>
  <c r="AD36" i="29"/>
  <c r="AD38" i="29"/>
  <c r="AF38" i="29" s="1"/>
  <c r="AD49" i="33"/>
  <c r="AD45" i="29"/>
  <c r="AD46" i="29" s="1"/>
  <c r="AD48" i="29"/>
  <c r="AD39" i="29"/>
  <c r="AF39" i="29" s="1"/>
  <c r="AD17" i="26"/>
  <c r="AD15" i="24"/>
  <c r="AD18" i="24"/>
  <c r="AD17" i="22"/>
  <c r="AD15" i="26"/>
  <c r="AD18" i="26"/>
  <c r="AD17" i="24"/>
  <c r="AD15" i="23"/>
  <c r="AD15" i="3"/>
  <c r="AD16" i="26"/>
  <c r="AD18" i="25"/>
  <c r="AD17" i="23"/>
  <c r="AD16" i="25"/>
  <c r="AD15" i="25"/>
  <c r="AD18" i="23"/>
  <c r="AD16" i="23"/>
  <c r="AD18" i="22"/>
  <c r="AD16" i="22"/>
  <c r="AD17" i="3"/>
  <c r="AD17" i="25"/>
  <c r="AD18" i="3"/>
  <c r="AD16" i="3"/>
  <c r="N25" i="30" l="1"/>
  <c r="N25" i="28"/>
  <c r="N25" i="33"/>
  <c r="AD41" i="33"/>
  <c r="AF41" i="33" s="1"/>
  <c r="AG38" i="33" s="1"/>
  <c r="N23" i="33" s="1"/>
  <c r="N25" i="32"/>
  <c r="AD41" i="30"/>
  <c r="AF41" i="30" s="1"/>
  <c r="AD23" i="30" s="1"/>
  <c r="AD41" i="31"/>
  <c r="AF41" i="31" s="1"/>
  <c r="AG38" i="31" s="1"/>
  <c r="N23" i="31" s="1"/>
  <c r="N25" i="31"/>
  <c r="AD41" i="28"/>
  <c r="AF41" i="28" s="1"/>
  <c r="AG38" i="28" s="1"/>
  <c r="N23" i="28" s="1"/>
  <c r="AD49" i="32"/>
  <c r="AD41" i="32"/>
  <c r="AF41" i="32" s="1"/>
  <c r="AG37" i="32" s="1"/>
  <c r="N22" i="32" s="1"/>
  <c r="AD48" i="24"/>
  <c r="AD49" i="24" s="1"/>
  <c r="AV28" i="24" s="1"/>
  <c r="AD39" i="23"/>
  <c r="AF39" i="23" s="1"/>
  <c r="AD45" i="27"/>
  <c r="AD46" i="27" s="1"/>
  <c r="AV22" i="27" s="1"/>
  <c r="AD39" i="27"/>
  <c r="AF39" i="27" s="1"/>
  <c r="AD38" i="27"/>
  <c r="AF38" i="27" s="1"/>
  <c r="AD21" i="27"/>
  <c r="AD28" i="27" s="1"/>
  <c r="AC53" i="27" s="1"/>
  <c r="E19" i="27" s="1"/>
  <c r="AD37" i="27"/>
  <c r="AF37" i="27" s="1"/>
  <c r="AD48" i="27"/>
  <c r="AD36" i="27"/>
  <c r="AF36" i="27" s="1"/>
  <c r="AD45" i="22"/>
  <c r="AD46" i="22" s="1"/>
  <c r="AV19" i="22" s="1"/>
  <c r="AD45" i="3"/>
  <c r="AD46" i="3" s="1"/>
  <c r="AV18" i="3" s="1"/>
  <c r="AD45" i="25"/>
  <c r="AD46" i="25" s="1"/>
  <c r="AV19" i="25" s="1"/>
  <c r="AD48" i="25"/>
  <c r="AD36" i="22"/>
  <c r="AF36" i="22" s="1"/>
  <c r="AD39" i="24"/>
  <c r="AF39" i="24" s="1"/>
  <c r="N25" i="29"/>
  <c r="AD49" i="29"/>
  <c r="AD38" i="22"/>
  <c r="AF38" i="22" s="1"/>
  <c r="AF36" i="29"/>
  <c r="AD41" i="29"/>
  <c r="AF41" i="29" s="1"/>
  <c r="AD21" i="22"/>
  <c r="AD28" i="22" s="1"/>
  <c r="AC53" i="22" s="1"/>
  <c r="E19" i="22" s="1"/>
  <c r="AD36" i="24"/>
  <c r="AF36" i="24" s="1"/>
  <c r="AD38" i="26"/>
  <c r="AF38" i="26" s="1"/>
  <c r="AD48" i="26"/>
  <c r="AD36" i="25"/>
  <c r="AF36" i="25" s="1"/>
  <c r="AD38" i="23"/>
  <c r="AF38" i="23" s="1"/>
  <c r="AD45" i="23"/>
  <c r="AD46" i="23" s="1"/>
  <c r="AV18" i="23" s="1"/>
  <c r="AD37" i="26"/>
  <c r="AF37" i="26" s="1"/>
  <c r="AD21" i="26"/>
  <c r="AD28" i="26" s="1"/>
  <c r="AC53" i="26" s="1"/>
  <c r="E19" i="26" s="1"/>
  <c r="AD45" i="26"/>
  <c r="AD46" i="26" s="1"/>
  <c r="AD39" i="26"/>
  <c r="AF39" i="26" s="1"/>
  <c r="AD37" i="24"/>
  <c r="AF37" i="24" s="1"/>
  <c r="AD45" i="24"/>
  <c r="AD46" i="24" s="1"/>
  <c r="AV22" i="24" s="1"/>
  <c r="AD38" i="24"/>
  <c r="AF38" i="24" s="1"/>
  <c r="AD21" i="24"/>
  <c r="AD28" i="24" s="1"/>
  <c r="AC53" i="24" s="1"/>
  <c r="E19" i="24" s="1"/>
  <c r="AD48" i="23"/>
  <c r="AD49" i="23" s="1"/>
  <c r="AV27" i="23" s="1"/>
  <c r="AD39" i="22"/>
  <c r="AF39" i="22" s="1"/>
  <c r="AD48" i="3"/>
  <c r="AD36" i="26"/>
  <c r="AF36" i="26" s="1"/>
  <c r="AD37" i="25"/>
  <c r="AF37" i="25" s="1"/>
  <c r="AD39" i="25"/>
  <c r="AF39" i="25" s="1"/>
  <c r="AD21" i="23"/>
  <c r="AD28" i="23" s="1"/>
  <c r="AC53" i="23" s="1"/>
  <c r="E19" i="23" s="1"/>
  <c r="AD37" i="23"/>
  <c r="AF37" i="23" s="1"/>
  <c r="AD36" i="23"/>
  <c r="AF36" i="23" s="1"/>
  <c r="AD37" i="22"/>
  <c r="AF37" i="22" s="1"/>
  <c r="AD38" i="3"/>
  <c r="AF38" i="3" s="1"/>
  <c r="AD21" i="3"/>
  <c r="AD28" i="3" s="1"/>
  <c r="AC53" i="3" s="1"/>
  <c r="E19" i="3" s="1"/>
  <c r="AD21" i="25"/>
  <c r="AD28" i="25" s="1"/>
  <c r="AC53" i="25" s="1"/>
  <c r="E19" i="25" s="1"/>
  <c r="AD38" i="25"/>
  <c r="AF38" i="25" s="1"/>
  <c r="AD48" i="22"/>
  <c r="AD37" i="3"/>
  <c r="AF37" i="3" s="1"/>
  <c r="AD36" i="3"/>
  <c r="AD39" i="3"/>
  <c r="AF39" i="3" s="1"/>
  <c r="AG35" i="32" l="1"/>
  <c r="AG36" i="33"/>
  <c r="AD23" i="33"/>
  <c r="AD24" i="33" s="1"/>
  <c r="AD27" i="33" s="1"/>
  <c r="AG39" i="33"/>
  <c r="N24" i="33" s="1"/>
  <c r="AG37" i="33"/>
  <c r="N22" i="33" s="1"/>
  <c r="AG36" i="30"/>
  <c r="AG35" i="30"/>
  <c r="AG39" i="30"/>
  <c r="N24" i="30" s="1"/>
  <c r="AG37" i="30"/>
  <c r="N22" i="30" s="1"/>
  <c r="AG35" i="33"/>
  <c r="AG38" i="30"/>
  <c r="N23" i="30" s="1"/>
  <c r="AG37" i="28"/>
  <c r="N22" i="28" s="1"/>
  <c r="AD23" i="31"/>
  <c r="AD24" i="31" s="1"/>
  <c r="AD23" i="28"/>
  <c r="AD26" i="28" s="1"/>
  <c r="AG39" i="28"/>
  <c r="N24" i="28" s="1"/>
  <c r="AG38" i="32"/>
  <c r="N23" i="32" s="1"/>
  <c r="AG35" i="28"/>
  <c r="AG36" i="28"/>
  <c r="AG39" i="31"/>
  <c r="N24" i="31" s="1"/>
  <c r="AG36" i="31"/>
  <c r="AG37" i="31"/>
  <c r="N22" i="31" s="1"/>
  <c r="AG35" i="31"/>
  <c r="AG39" i="32"/>
  <c r="N24" i="32" s="1"/>
  <c r="AD23" i="32"/>
  <c r="AD26" i="32" s="1"/>
  <c r="AG36" i="32"/>
  <c r="N25" i="27"/>
  <c r="AV18" i="26"/>
  <c r="AD49" i="27"/>
  <c r="AV30" i="27" s="1"/>
  <c r="N25" i="25"/>
  <c r="AV22" i="26"/>
  <c r="AD41" i="27"/>
  <c r="AF41" i="27" s="1"/>
  <c r="AG37" i="27" s="1"/>
  <c r="N22" i="27" s="1"/>
  <c r="N25" i="22"/>
  <c r="AV28" i="23"/>
  <c r="AD49" i="25"/>
  <c r="AV31" i="25" s="1"/>
  <c r="AD49" i="3"/>
  <c r="AV28" i="3" s="1"/>
  <c r="AV23" i="3"/>
  <c r="AV21" i="26"/>
  <c r="AV20" i="26"/>
  <c r="AV17" i="26"/>
  <c r="AV26" i="24"/>
  <c r="AV31" i="24"/>
  <c r="AV29" i="24"/>
  <c r="N25" i="23"/>
  <c r="N25" i="3"/>
  <c r="AD23" i="29"/>
  <c r="AG35" i="29"/>
  <c r="AG37" i="29"/>
  <c r="N22" i="29" s="1"/>
  <c r="AD26" i="33"/>
  <c r="AG39" i="29"/>
  <c r="N24" i="29" s="1"/>
  <c r="AG38" i="29"/>
  <c r="N23" i="29" s="1"/>
  <c r="AG36" i="29"/>
  <c r="N25" i="26"/>
  <c r="AD26" i="30"/>
  <c r="AD24" i="30"/>
  <c r="AD27" i="30" s="1"/>
  <c r="AD49" i="26"/>
  <c r="AV31" i="26" s="1"/>
  <c r="N25" i="24"/>
  <c r="AD41" i="26"/>
  <c r="AF41" i="26" s="1"/>
  <c r="AG38" i="26" s="1"/>
  <c r="N23" i="26" s="1"/>
  <c r="AV19" i="26"/>
  <c r="AD41" i="24"/>
  <c r="AF41" i="24" s="1"/>
  <c r="AG39" i="24" s="1"/>
  <c r="N24" i="24" s="1"/>
  <c r="AD41" i="23"/>
  <c r="AF41" i="23" s="1"/>
  <c r="AG37" i="23" s="1"/>
  <c r="N22" i="23" s="1"/>
  <c r="AD41" i="3"/>
  <c r="AF41" i="3" s="1"/>
  <c r="AG37" i="3" s="1"/>
  <c r="N22" i="3" s="1"/>
  <c r="AD41" i="25"/>
  <c r="AF41" i="25" s="1"/>
  <c r="AG38" i="25" s="1"/>
  <c r="N23" i="25" s="1"/>
  <c r="AV30" i="24"/>
  <c r="AD41" i="22"/>
  <c r="AF41" i="22" s="1"/>
  <c r="AG35" i="22" s="1"/>
  <c r="AF36" i="3"/>
  <c r="AV20" i="22"/>
  <c r="AV21" i="22"/>
  <c r="AV22" i="22"/>
  <c r="AD49" i="22"/>
  <c r="AV29" i="22" s="1"/>
  <c r="AV22" i="3"/>
  <c r="AV20" i="3"/>
  <c r="AV21" i="27"/>
  <c r="AV18" i="25"/>
  <c r="AV20" i="25"/>
  <c r="AV21" i="25"/>
  <c r="AV17" i="25"/>
  <c r="AV21" i="24"/>
  <c r="AV27" i="24"/>
  <c r="AV18" i="24"/>
  <c r="AV19" i="24"/>
  <c r="AV18" i="22"/>
  <c r="AV17" i="22"/>
  <c r="AV20" i="27"/>
  <c r="AV17" i="27"/>
  <c r="AV22" i="25"/>
  <c r="AV17" i="24"/>
  <c r="AV18" i="27"/>
  <c r="AV19" i="27"/>
  <c r="AV20" i="24"/>
  <c r="AV31" i="23"/>
  <c r="AV26" i="23"/>
  <c r="AV17" i="23"/>
  <c r="AV30" i="23"/>
  <c r="AV20" i="23"/>
  <c r="AV22" i="23"/>
  <c r="AV29" i="23"/>
  <c r="AV19" i="23"/>
  <c r="AV21" i="23"/>
  <c r="AV21" i="3"/>
  <c r="AV19" i="3"/>
  <c r="AV17" i="3"/>
  <c r="AD26" i="31" l="1"/>
  <c r="AD27" i="31"/>
  <c r="AD29" i="31" s="1"/>
  <c r="AE53" i="31" s="1"/>
  <c r="AE55" i="31" s="1"/>
  <c r="AD24" i="28"/>
  <c r="AD27" i="28" s="1"/>
  <c r="AD29" i="28" s="1"/>
  <c r="AE53" i="28" s="1"/>
  <c r="AD24" i="32"/>
  <c r="AD27" i="32" s="1"/>
  <c r="AD30" i="32" s="1"/>
  <c r="AD53" i="32" s="1"/>
  <c r="AV28" i="27"/>
  <c r="AV31" i="27"/>
  <c r="AV29" i="27"/>
  <c r="AV27" i="27"/>
  <c r="AG39" i="26"/>
  <c r="N24" i="26" s="1"/>
  <c r="AV26" i="27"/>
  <c r="AG39" i="27"/>
  <c r="N24" i="27" s="1"/>
  <c r="AV29" i="25"/>
  <c r="AG36" i="27"/>
  <c r="AG35" i="27"/>
  <c r="AD23" i="27"/>
  <c r="AD24" i="27" s="1"/>
  <c r="AD27" i="27" s="1"/>
  <c r="AG38" i="27"/>
  <c r="N23" i="27" s="1"/>
  <c r="AG35" i="26"/>
  <c r="AV30" i="25"/>
  <c r="AV30" i="22"/>
  <c r="AV26" i="25"/>
  <c r="AV27" i="25"/>
  <c r="AV28" i="25"/>
  <c r="AV31" i="3"/>
  <c r="AV30" i="3"/>
  <c r="AV29" i="3"/>
  <c r="AV26" i="3"/>
  <c r="AV27" i="3"/>
  <c r="AV32" i="3"/>
  <c r="AD23" i="22"/>
  <c r="AD26" i="22" s="1"/>
  <c r="AD30" i="33"/>
  <c r="AD53" i="33" s="1"/>
  <c r="AD29" i="33"/>
  <c r="AE53" i="33" s="1"/>
  <c r="AD30" i="30"/>
  <c r="AD53" i="30" s="1"/>
  <c r="AD29" i="30"/>
  <c r="AE53" i="30" s="1"/>
  <c r="AD23" i="23"/>
  <c r="AD26" i="23" s="1"/>
  <c r="AE54" i="31"/>
  <c r="AD26" i="29"/>
  <c r="AD24" i="29"/>
  <c r="AD27" i="29" s="1"/>
  <c r="AV26" i="26"/>
  <c r="AV27" i="26"/>
  <c r="AD23" i="26"/>
  <c r="AD24" i="26" s="1"/>
  <c r="AD27" i="26" s="1"/>
  <c r="AV30" i="26"/>
  <c r="AG36" i="26"/>
  <c r="AV28" i="26"/>
  <c r="AG37" i="26"/>
  <c r="N22" i="26" s="1"/>
  <c r="AV29" i="26"/>
  <c r="AG37" i="25"/>
  <c r="N22" i="25" s="1"/>
  <c r="AG36" i="25"/>
  <c r="AG35" i="25"/>
  <c r="AD23" i="25"/>
  <c r="AD24" i="25" s="1"/>
  <c r="AD27" i="25" s="1"/>
  <c r="AG36" i="24"/>
  <c r="AG36" i="23"/>
  <c r="AG38" i="23"/>
  <c r="N23" i="23" s="1"/>
  <c r="AG35" i="23"/>
  <c r="AG39" i="23"/>
  <c r="N24" i="23" s="1"/>
  <c r="AG36" i="22"/>
  <c r="AG38" i="22"/>
  <c r="N23" i="22" s="1"/>
  <c r="AG38" i="3"/>
  <c r="N23" i="3" s="1"/>
  <c r="AG39" i="3"/>
  <c r="N24" i="3" s="1"/>
  <c r="AG35" i="3"/>
  <c r="AD23" i="3"/>
  <c r="AD26" i="3" s="1"/>
  <c r="AG36" i="3"/>
  <c r="AG39" i="25"/>
  <c r="N24" i="25" s="1"/>
  <c r="AD23" i="24"/>
  <c r="AD24" i="24" s="1"/>
  <c r="AD27" i="24" s="1"/>
  <c r="AG35" i="24"/>
  <c r="AG37" i="24"/>
  <c r="N22" i="24" s="1"/>
  <c r="AG38" i="24"/>
  <c r="N23" i="24" s="1"/>
  <c r="AG39" i="22"/>
  <c r="N24" i="22" s="1"/>
  <c r="AG37" i="22"/>
  <c r="N22" i="22" s="1"/>
  <c r="AV28" i="22"/>
  <c r="AV27" i="22"/>
  <c r="AV31" i="22"/>
  <c r="AV26" i="22"/>
  <c r="AD30" i="31" l="1"/>
  <c r="AD53" i="31" s="1"/>
  <c r="AD30" i="28"/>
  <c r="AD53" i="28" s="1"/>
  <c r="AD55" i="28" s="1"/>
  <c r="AD29" i="32"/>
  <c r="AE53" i="32" s="1"/>
  <c r="AE55" i="32" s="1"/>
  <c r="AD26" i="27"/>
  <c r="AD26" i="26"/>
  <c r="AD24" i="3"/>
  <c r="AD27" i="3" s="1"/>
  <c r="AD30" i="3" s="1"/>
  <c r="AD53" i="3" s="1"/>
  <c r="AD26" i="25"/>
  <c r="AD24" i="22"/>
  <c r="AD27" i="22" s="1"/>
  <c r="AD29" i="22" s="1"/>
  <c r="AE53" i="22" s="1"/>
  <c r="AD29" i="29"/>
  <c r="AE53" i="29" s="1"/>
  <c r="AD30" i="29"/>
  <c r="AD53" i="29" s="1"/>
  <c r="AE54" i="30"/>
  <c r="AE55" i="30"/>
  <c r="AD54" i="28"/>
  <c r="E20" i="28" s="1"/>
  <c r="AE54" i="28"/>
  <c r="AE55" i="28"/>
  <c r="AD24" i="23"/>
  <c r="AD27" i="23" s="1"/>
  <c r="AD30" i="23" s="1"/>
  <c r="AD53" i="23" s="1"/>
  <c r="AE55" i="33"/>
  <c r="AE54" i="33"/>
  <c r="AD54" i="33"/>
  <c r="E20" i="33" s="1"/>
  <c r="AD55" i="33"/>
  <c r="AD54" i="32"/>
  <c r="E20" i="32" s="1"/>
  <c r="AD55" i="32"/>
  <c r="AD55" i="30"/>
  <c r="AD54" i="30"/>
  <c r="AE54" i="32"/>
  <c r="AD26" i="24"/>
  <c r="AD30" i="27"/>
  <c r="AD53" i="27" s="1"/>
  <c r="AD29" i="27"/>
  <c r="AE53" i="27" s="1"/>
  <c r="AD30" i="26"/>
  <c r="AD53" i="26" s="1"/>
  <c r="AD29" i="26"/>
  <c r="AE53" i="26" s="1"/>
  <c r="AD30" i="25"/>
  <c r="AD53" i="25" s="1"/>
  <c r="AD29" i="25"/>
  <c r="AE53" i="25" s="1"/>
  <c r="AD30" i="24"/>
  <c r="AD53" i="24" s="1"/>
  <c r="AD29" i="24"/>
  <c r="AE53" i="24" s="1"/>
  <c r="AD55" i="31" l="1"/>
  <c r="AD54" i="31"/>
  <c r="G20" i="30"/>
  <c r="E20" i="30"/>
  <c r="G20" i="32"/>
  <c r="G20" i="33"/>
  <c r="AD29" i="3"/>
  <c r="AE53" i="3" s="1"/>
  <c r="AE55" i="3" s="1"/>
  <c r="AD29" i="23"/>
  <c r="AE53" i="23" s="1"/>
  <c r="AE55" i="23" s="1"/>
  <c r="AD30" i="22"/>
  <c r="AD53" i="22" s="1"/>
  <c r="AD55" i="22" s="1"/>
  <c r="G20" i="28"/>
  <c r="AD54" i="29"/>
  <c r="E20" i="29" s="1"/>
  <c r="AD55" i="29"/>
  <c r="AE54" i="29"/>
  <c r="AE55" i="29"/>
  <c r="AE54" i="27"/>
  <c r="AE55" i="27"/>
  <c r="AD55" i="27"/>
  <c r="AD54" i="27"/>
  <c r="AE55" i="26"/>
  <c r="AE54" i="26"/>
  <c r="AD55" i="26"/>
  <c r="AD54" i="26"/>
  <c r="AE55" i="25"/>
  <c r="AE54" i="25"/>
  <c r="AD55" i="25"/>
  <c r="AD54" i="25"/>
  <c r="AE54" i="24"/>
  <c r="AE55" i="24"/>
  <c r="AD55" i="24"/>
  <c r="AD54" i="24"/>
  <c r="AD55" i="23"/>
  <c r="AD54" i="23"/>
  <c r="AE55" i="22"/>
  <c r="AE54" i="22"/>
  <c r="AD54" i="3"/>
  <c r="AD55" i="3"/>
  <c r="G20" i="31" l="1"/>
  <c r="E20" i="31"/>
  <c r="E20" i="25"/>
  <c r="E20" i="27"/>
  <c r="E20" i="26"/>
  <c r="E20" i="24"/>
  <c r="AE54" i="3"/>
  <c r="E20" i="3" s="1"/>
  <c r="AE54" i="23"/>
  <c r="E20" i="23" s="1"/>
  <c r="AD54" i="22"/>
  <c r="E20" i="22" s="1"/>
  <c r="G20" i="25"/>
  <c r="G20" i="29"/>
  <c r="G20" i="27"/>
  <c r="G20" i="26"/>
  <c r="G20" i="24"/>
  <c r="G20" i="22" l="1"/>
  <c r="G20" i="23"/>
  <c r="G20" i="3"/>
</calcChain>
</file>

<file path=xl/sharedStrings.xml><?xml version="1.0" encoding="utf-8"?>
<sst xmlns="http://schemas.openxmlformats.org/spreadsheetml/2006/main" count="1860" uniqueCount="160">
  <si>
    <t>S.S.</t>
  </si>
  <si>
    <t>DF</t>
  </si>
  <si>
    <t>M.S.</t>
  </si>
  <si>
    <t>F RATIO</t>
  </si>
  <si>
    <t>F 0.95</t>
  </si>
  <si>
    <t>SxxS:</t>
  </si>
  <si>
    <t>ni</t>
  </si>
  <si>
    <t>ysi</t>
  </si>
  <si>
    <t>SxxSi</t>
  </si>
  <si>
    <t>SyySi</t>
  </si>
  <si>
    <t>SxySi</t>
  </si>
  <si>
    <t>yi^2</t>
  </si>
  <si>
    <t>SxxT:</t>
  </si>
  <si>
    <t>t</t>
  </si>
  <si>
    <t>SxyS:</t>
  </si>
  <si>
    <t>SxyT:</t>
  </si>
  <si>
    <t>SyyS:</t>
  </si>
  <si>
    <t>SyyT:</t>
  </si>
  <si>
    <t>mi</t>
  </si>
  <si>
    <t>yti</t>
  </si>
  <si>
    <t>SxxTi</t>
  </si>
  <si>
    <t>SyyTi</t>
  </si>
  <si>
    <t>SxyTi</t>
  </si>
  <si>
    <t>B:</t>
  </si>
  <si>
    <t>aantal doses standaard</t>
  </si>
  <si>
    <t>aantal doses test</t>
  </si>
  <si>
    <t>aantal responses standaard</t>
  </si>
  <si>
    <t>aantal responses test</t>
  </si>
  <si>
    <t>som responses standaard</t>
  </si>
  <si>
    <t>som responses test</t>
  </si>
  <si>
    <t>XSm</t>
  </si>
  <si>
    <t>XTm</t>
  </si>
  <si>
    <t>Ysm</t>
  </si>
  <si>
    <t>Ytm</t>
  </si>
  <si>
    <t>som Xsi</t>
  </si>
  <si>
    <t>Xsi</t>
  </si>
  <si>
    <t>som Xti</t>
  </si>
  <si>
    <t>Xti</t>
  </si>
  <si>
    <t>s</t>
  </si>
  <si>
    <t>g</t>
  </si>
  <si>
    <t>var(P)</t>
  </si>
  <si>
    <t>limit</t>
  </si>
  <si>
    <t>M</t>
  </si>
  <si>
    <t>Ml</t>
  </si>
  <si>
    <t>Mu</t>
  </si>
  <si>
    <t>V 1.0</t>
  </si>
  <si>
    <t>Non-parallelism</t>
  </si>
  <si>
    <t>Limits</t>
  </si>
  <si>
    <t>F-Ratio</t>
  </si>
  <si>
    <t>Sample</t>
  </si>
  <si>
    <t>Dose</t>
  </si>
  <si>
    <t>Response</t>
  </si>
  <si>
    <t>Respons</t>
  </si>
  <si>
    <t>Standard</t>
  </si>
  <si>
    <t>l</t>
  </si>
  <si>
    <t>Date:</t>
  </si>
  <si>
    <t>Relative potency</t>
  </si>
  <si>
    <t>Upper</t>
  </si>
  <si>
    <t>Lower</t>
  </si>
  <si>
    <t>Deviation</t>
  </si>
  <si>
    <t>Slope standard</t>
  </si>
  <si>
    <t>Intercept standard</t>
  </si>
  <si>
    <t>Slope test</t>
  </si>
  <si>
    <t>Intercept test</t>
  </si>
  <si>
    <t>Source of variation</t>
  </si>
  <si>
    <t>Preparations</t>
  </si>
  <si>
    <t>Regression</t>
  </si>
  <si>
    <t>Non-linearity (s)</t>
  </si>
  <si>
    <t>Non-linearity (t)</t>
  </si>
  <si>
    <t>Residual Error</t>
  </si>
  <si>
    <t>Total</t>
  </si>
  <si>
    <t>Non linearity (St)</t>
  </si>
  <si>
    <t>Non linearity (Sa)</t>
  </si>
  <si>
    <t>Put here the Absorbances (B6 - M13)</t>
  </si>
  <si>
    <t>Then select the data, press copy and return to this sheet. Put the cursor in cell B6 and press paste.</t>
  </si>
  <si>
    <t>Absorbance matrix</t>
  </si>
  <si>
    <t>Dilution matrix</t>
  </si>
  <si>
    <t>.</t>
  </si>
  <si>
    <t>A</t>
  </si>
  <si>
    <t>B</t>
  </si>
  <si>
    <t>C</t>
  </si>
  <si>
    <t>D</t>
  </si>
  <si>
    <t>E</t>
  </si>
  <si>
    <t>F</t>
  </si>
  <si>
    <t>G</t>
  </si>
  <si>
    <t>H</t>
  </si>
  <si>
    <t>SS</t>
  </si>
  <si>
    <t xml:space="preserve"> 0.90-1.10</t>
  </si>
  <si>
    <t>Sample position matrix</t>
  </si>
  <si>
    <t>Potency</t>
  </si>
  <si>
    <t>SS = standard</t>
  </si>
  <si>
    <t>S1 - S13 for samples</t>
  </si>
  <si>
    <t>S10</t>
  </si>
  <si>
    <t>S11</t>
  </si>
  <si>
    <t>S12</t>
  </si>
  <si>
    <t>S13</t>
  </si>
  <si>
    <t>Unit</t>
  </si>
  <si>
    <t>U/mL</t>
  </si>
  <si>
    <t>Name / number</t>
  </si>
  <si>
    <t xml:space="preserve">This date and the text below will appear on all sheets </t>
  </si>
  <si>
    <t>Dose(log)</t>
  </si>
  <si>
    <t xml:space="preserve">Lot number: </t>
  </si>
  <si>
    <t xml:space="preserve">Name technician: </t>
  </si>
  <si>
    <t xml:space="preserve">  -</t>
  </si>
  <si>
    <t xml:space="preserve">Sample name: </t>
  </si>
  <si>
    <t xml:space="preserve">Date: </t>
  </si>
  <si>
    <t xml:space="preserve">Sample: </t>
  </si>
  <si>
    <t xml:space="preserve">Potency: </t>
  </si>
  <si>
    <t xml:space="preserve">CI: </t>
  </si>
  <si>
    <r>
      <t xml:space="preserve">If your data are in 8x12 format paste them here and press </t>
    </r>
    <r>
      <rPr>
        <b/>
        <sz val="10"/>
        <rFont val="Arial"/>
        <family val="2"/>
      </rPr>
      <t>Transpose</t>
    </r>
  </si>
  <si>
    <r>
      <t xml:space="preserve">Enter here the dilutions of the samples (B36 - M43).     </t>
    </r>
    <r>
      <rPr>
        <b/>
        <sz val="10"/>
        <color rgb="FFFF0000"/>
        <rFont val="Arial"/>
        <family val="2"/>
      </rPr>
      <t>Enter a dilution of 1/20 as =1/20 or 0.05</t>
    </r>
  </si>
  <si>
    <t>This tekst will appear in the Cell D24 and E24</t>
  </si>
  <si>
    <t>This tekst will appear in the Cell D25 and E25</t>
  </si>
  <si>
    <t>Enter here the positions of samples. Use S1 to S13 for maximal 13 samples and SS for the position of the standard.</t>
  </si>
  <si>
    <t>S01</t>
  </si>
  <si>
    <t>S02</t>
  </si>
  <si>
    <t>S03</t>
  </si>
  <si>
    <t>S04</t>
  </si>
  <si>
    <t>S05</t>
  </si>
  <si>
    <t>S06</t>
  </si>
  <si>
    <t>S07</t>
  </si>
  <si>
    <t>S08</t>
  </si>
  <si>
    <t>S09</t>
  </si>
  <si>
    <t>Use the abbreviations as entered in column P21 - P 34</t>
  </si>
  <si>
    <t>Monster 1</t>
  </si>
  <si>
    <t>Monster 2</t>
  </si>
  <si>
    <t>Monster 3</t>
  </si>
  <si>
    <t>This name and potency wil appear on all sheets</t>
  </si>
  <si>
    <t>Standard name:</t>
  </si>
  <si>
    <t>Potency:</t>
  </si>
  <si>
    <t>Name XXX</t>
  </si>
  <si>
    <r>
      <t xml:space="preserve">If your data are in 8x12 format, paste them here and press </t>
    </r>
    <r>
      <rPr>
        <b/>
        <sz val="10"/>
        <rFont val="Arial"/>
        <family val="2"/>
      </rPr>
      <t>Transpose</t>
    </r>
  </si>
  <si>
    <t>This name and potency will appear on all sheets</t>
  </si>
  <si>
    <t>std</t>
  </si>
  <si>
    <t>Set "Format Cells" to General, Fraction or custom format ?/????</t>
  </si>
  <si>
    <t>N0012-18-000001</t>
  </si>
  <si>
    <t>N0012-18-000002</t>
  </si>
  <si>
    <t>N0012-18-000003</t>
  </si>
  <si>
    <t>N0012-18-000004</t>
  </si>
  <si>
    <t>N0012-18-000005</t>
  </si>
  <si>
    <t>N0012-18-000006</t>
  </si>
  <si>
    <t>N0012-18-000007</t>
  </si>
  <si>
    <r>
      <rPr>
        <i/>
        <sz val="10"/>
        <rFont val="Arial"/>
        <family val="2"/>
      </rPr>
      <t>Italic</t>
    </r>
    <r>
      <rPr>
        <sz val="10"/>
        <rFont val="Arial"/>
        <family val="2"/>
      </rPr>
      <t xml:space="preserve"> or </t>
    </r>
    <r>
      <rPr>
        <b/>
        <sz val="10"/>
        <rFont val="Arial"/>
        <family val="2"/>
      </rPr>
      <t>Bold</t>
    </r>
    <r>
      <rPr>
        <sz val="10"/>
        <rFont val="Arial"/>
        <family val="2"/>
      </rPr>
      <t xml:space="preserve">  = Delete point. Press button Recalculate</t>
    </r>
  </si>
  <si>
    <t>Test sample</t>
  </si>
  <si>
    <t>Responses</t>
  </si>
  <si>
    <t>y</t>
  </si>
  <si>
    <t>ID</t>
  </si>
  <si>
    <t>Log Dose</t>
  </si>
  <si>
    <t>Average</t>
  </si>
  <si>
    <t>Logit response</t>
  </si>
  <si>
    <t>Correlation</t>
  </si>
  <si>
    <t>Loopcount</t>
  </si>
  <si>
    <t>Bmax</t>
  </si>
  <si>
    <t>Minimum</t>
  </si>
  <si>
    <t>Original absorbances</t>
  </si>
  <si>
    <r>
      <t xml:space="preserve">Enter here the positions of samples. Use </t>
    </r>
    <r>
      <rPr>
        <b/>
        <sz val="10"/>
        <rFont val="Arial"/>
        <family val="2"/>
      </rPr>
      <t>S01 to S13</t>
    </r>
    <r>
      <rPr>
        <sz val="10"/>
        <rFont val="Arial"/>
        <family val="2"/>
      </rPr>
      <t xml:space="preserve"> for maximal 13 samples and </t>
    </r>
    <r>
      <rPr>
        <b/>
        <sz val="10"/>
        <rFont val="Arial"/>
        <family val="2"/>
      </rPr>
      <t>SS</t>
    </r>
    <r>
      <rPr>
        <sz val="10"/>
        <rFont val="Arial"/>
        <family val="2"/>
      </rPr>
      <t xml:space="preserve"> for the position of the standard.</t>
    </r>
  </si>
  <si>
    <t>S01 - S13 for samples</t>
  </si>
  <si>
    <t>If the data are in ASCII then: File, open, select in 'files of type' "text files" and import the data. Select the proper delimiter to get every absorbtion in a separate cell.</t>
  </si>
  <si>
    <t>PLA tredecim V01Sep2018</t>
  </si>
  <si>
    <t>Relative Slope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</si>
</sst>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0.00_)"/>
    <numFmt numFmtId="165" formatCode="0.000_)"/>
    <numFmt numFmtId="166" formatCode="0.0_)"/>
    <numFmt numFmtId="167" formatCode="0.0000_)"/>
    <numFmt numFmtId="168" formatCode="0.0"/>
    <numFmt numFmtId="169" formatCode="0.000"/>
    <numFmt numFmtId="170" formatCode="dd/mmm/yyyy"/>
    <numFmt numFmtId="171" formatCode="[$-F800]dddd\,\ mmmm\ dd\,\ yyyy"/>
    <numFmt numFmtId="172" formatCode="#\ ???/???"/>
    <numFmt numFmtId="173" formatCode="?/????"/>
    <numFmt numFmtId="174" formatCode="0.###"/>
  </numFmts>
  <fonts count="93" x14ac:knownFonts="1">
    <font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14"/>
      <color indexed="10"/>
      <name val="Arial"/>
      <family val="2"/>
    </font>
    <font>
      <sz val="10"/>
      <color indexed="9"/>
      <name val="Arial"/>
      <family val="2"/>
    </font>
    <font>
      <sz val="16"/>
      <color indexed="9"/>
      <name val="Arial"/>
      <family val="2"/>
    </font>
    <font>
      <sz val="10"/>
      <color indexed="8"/>
      <name val="Arial"/>
      <family val="2"/>
    </font>
    <font>
      <i/>
      <sz val="10"/>
      <color indexed="10"/>
      <name val="Arial"/>
      <family val="2"/>
    </font>
    <font>
      <sz val="8"/>
      <name val="Courier"/>
    </font>
    <font>
      <u/>
      <sz val="10"/>
      <color indexed="12"/>
      <name val="Courier"/>
    </font>
    <font>
      <sz val="10"/>
      <color indexed="57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57"/>
      <name val="Arial"/>
      <family val="2"/>
    </font>
    <font>
      <i/>
      <sz val="10"/>
      <color indexed="57"/>
      <name val="Arial"/>
      <family val="2"/>
    </font>
    <font>
      <sz val="10"/>
      <color indexed="17"/>
      <name val="Arial"/>
      <family val="2"/>
    </font>
    <font>
      <sz val="8"/>
      <name val="Arial"/>
      <family val="2"/>
    </font>
    <font>
      <sz val="8"/>
      <color indexed="10"/>
      <name val="Arial"/>
      <family val="2"/>
    </font>
    <font>
      <sz val="10"/>
      <color indexed="57"/>
      <name val="Wingdings"/>
      <charset val="2"/>
    </font>
    <font>
      <sz val="10"/>
      <color indexed="10"/>
      <name val="Wingdings"/>
      <charset val="2"/>
    </font>
    <font>
      <sz val="8"/>
      <name val="Arial"/>
      <family val="2"/>
    </font>
    <font>
      <sz val="11"/>
      <name val="Arial"/>
      <family val="2"/>
    </font>
    <font>
      <sz val="8"/>
      <color indexed="8"/>
      <name val="Arial"/>
      <family val="2"/>
    </font>
    <font>
      <b/>
      <sz val="10"/>
      <color rgb="FFFF0000"/>
      <name val="Arial"/>
      <family val="2"/>
    </font>
    <font>
      <sz val="5"/>
      <name val="Arial"/>
      <family val="2"/>
    </font>
    <font>
      <b/>
      <sz val="18"/>
      <name val="Arial"/>
      <family val="2"/>
    </font>
    <font>
      <sz val="43"/>
      <name val="Arial"/>
      <family val="2"/>
    </font>
    <font>
      <sz val="22"/>
      <name val="Arial"/>
      <family val="2"/>
    </font>
    <font>
      <sz val="27"/>
      <name val="Arial"/>
      <family val="2"/>
    </font>
    <font>
      <sz val="26"/>
      <name val="Arial"/>
      <family val="2"/>
    </font>
    <font>
      <sz val="28"/>
      <name val="Arial"/>
      <family val="2"/>
    </font>
    <font>
      <sz val="29"/>
      <name val="Arial"/>
      <family val="2"/>
    </font>
    <font>
      <sz val="24"/>
      <name val="Arial"/>
      <family val="2"/>
    </font>
    <font>
      <sz val="30"/>
      <name val="Arial"/>
      <family val="2"/>
    </font>
    <font>
      <b/>
      <sz val="10"/>
      <color rgb="FF0070C0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rgb="FF00B050"/>
      <name val="Arial"/>
      <family val="2"/>
    </font>
    <font>
      <strike/>
      <sz val="10"/>
      <name val="Arial"/>
      <family val="2"/>
    </font>
    <font>
      <sz val="9"/>
      <color rgb="FFFFFFE2"/>
      <name val="Wingdings"/>
      <charset val="2"/>
    </font>
    <font>
      <sz val="9"/>
      <color rgb="FFFFFFE3"/>
      <name val="Wingdings"/>
      <charset val="2"/>
    </font>
    <font>
      <sz val="10"/>
      <color rgb="FFFFFFE0"/>
      <name val="Wingdings"/>
      <charset val="2"/>
    </font>
    <font>
      <sz val="10"/>
      <color rgb="FFFFFFE1"/>
      <name val="Wingdings"/>
      <charset val="2"/>
    </font>
    <font>
      <sz val="10"/>
      <color rgb="FFFFFFDE"/>
      <name val="Wingdings"/>
      <charset val="2"/>
    </font>
    <font>
      <sz val="13"/>
      <color rgb="FFFFFFCE"/>
      <name val="Wingdings"/>
      <charset val="2"/>
    </font>
    <font>
      <sz val="14"/>
      <color rgb="FFFFFFC5"/>
      <name val="Wingdings"/>
      <charset val="2"/>
    </font>
    <font>
      <sz val="17"/>
      <color rgb="FFFFFFB6"/>
      <name val="Wingdings"/>
      <charset val="2"/>
    </font>
    <font>
      <sz val="16"/>
      <color rgb="FFFFFFB8"/>
      <name val="Wingdings"/>
      <charset val="2"/>
    </font>
    <font>
      <sz val="16"/>
      <color rgb="FFFFFFBB"/>
      <name val="Wingdings"/>
      <charset val="2"/>
    </font>
    <font>
      <sz val="18"/>
      <color rgb="FFFFFFB1"/>
      <name val="Wingdings"/>
      <charset val="2"/>
    </font>
    <font>
      <sz val="22"/>
      <color rgb="FFFFFF94"/>
      <name val="Wingdings"/>
      <charset val="2"/>
    </font>
    <font>
      <sz val="23"/>
      <color rgb="FFFFFF93"/>
      <name val="Wingdings"/>
      <charset val="2"/>
    </font>
    <font>
      <sz val="22"/>
      <color rgb="FFFFFF99"/>
      <name val="Wingdings"/>
      <charset val="2"/>
    </font>
    <font>
      <sz val="23"/>
      <color rgb="FFFFFF91"/>
      <name val="Wingdings"/>
      <charset val="2"/>
    </font>
    <font>
      <sz val="23"/>
      <color rgb="FFFFFF92"/>
      <name val="Wingdings"/>
      <charset val="2"/>
    </font>
    <font>
      <sz val="27"/>
      <color rgb="FFFFFF79"/>
      <name val="Wingdings"/>
      <charset val="2"/>
    </font>
    <font>
      <sz val="28"/>
      <color rgb="FFFFFF73"/>
      <name val="Wingdings"/>
      <charset val="2"/>
    </font>
    <font>
      <sz val="29"/>
      <color rgb="FFFFFF6D"/>
      <name val="Wingdings"/>
      <charset val="2"/>
    </font>
    <font>
      <sz val="27"/>
      <color rgb="FFFFFF78"/>
      <name val="Wingdings"/>
      <charset val="2"/>
    </font>
    <font>
      <sz val="27"/>
      <color rgb="FFFFFF77"/>
      <name val="Wingdings"/>
      <charset val="2"/>
    </font>
    <font>
      <sz val="30"/>
      <color rgb="FFFFFF67"/>
      <name val="Wingdings"/>
      <charset val="2"/>
    </font>
    <font>
      <sz val="34"/>
      <color rgb="FFFFFF51"/>
      <name val="Wingdings"/>
      <charset val="2"/>
    </font>
    <font>
      <sz val="32"/>
      <color rgb="FFFFFF59"/>
      <name val="Wingdings"/>
      <charset val="2"/>
    </font>
    <font>
      <sz val="35"/>
      <color rgb="FFFFFF48"/>
      <name val="Wingdings"/>
      <charset val="2"/>
    </font>
    <font>
      <sz val="15"/>
      <color rgb="FFFFFFC2"/>
      <name val="Wingdings"/>
      <charset val="2"/>
    </font>
    <font>
      <sz val="15"/>
      <color rgb="FFFFFFC0"/>
      <name val="Wingdings"/>
      <charset val="2"/>
    </font>
    <font>
      <sz val="15"/>
      <color rgb="FFFFFFC1"/>
      <name val="Wingdings"/>
      <charset val="2"/>
    </font>
    <font>
      <sz val="19"/>
      <color rgb="FFFFFFA9"/>
      <name val="Wingdings"/>
      <charset val="2"/>
    </font>
    <font>
      <sz val="19"/>
      <color rgb="FFFFFFAA"/>
      <name val="Wingdings"/>
      <charset val="2"/>
    </font>
    <font>
      <sz val="25"/>
      <color rgb="FFFFFF85"/>
      <name val="Wingdings"/>
      <charset val="2"/>
    </font>
    <font>
      <sz val="22"/>
      <color rgb="FFFFFF95"/>
      <name val="Wingdings"/>
      <charset val="2"/>
    </font>
    <font>
      <sz val="25"/>
      <color rgb="FFFFFF83"/>
      <name val="Wingdings"/>
      <charset val="2"/>
    </font>
    <font>
      <sz val="30"/>
      <color rgb="FFFFFF68"/>
      <name val="Wingdings"/>
      <charset val="2"/>
    </font>
    <font>
      <sz val="29"/>
      <color rgb="FFFFFF6F"/>
      <name val="Wingdings"/>
      <charset val="2"/>
    </font>
    <font>
      <sz val="26"/>
      <color rgb="FFFFFF7F"/>
      <name val="Wingdings"/>
      <charset val="2"/>
    </font>
    <font>
      <sz val="29"/>
      <color rgb="FFFFFF6A"/>
      <name val="Wingdings"/>
      <charset val="2"/>
    </font>
    <font>
      <sz val="33"/>
      <color rgb="FFFFFF54"/>
      <name val="Wingdings"/>
      <charset val="2"/>
    </font>
    <font>
      <sz val="31"/>
      <color rgb="FFFFFF63"/>
      <name val="Wingdings"/>
      <charset val="2"/>
    </font>
    <font>
      <sz val="34"/>
      <color rgb="FFFFFF4F"/>
      <name val="Wingdings"/>
      <charset val="2"/>
    </font>
    <font>
      <sz val="34"/>
      <color rgb="FFFFFF4D"/>
      <name val="Wingdings"/>
      <charset val="2"/>
    </font>
    <font>
      <sz val="36"/>
      <color rgb="FFFFFF43"/>
      <name val="Wingdings"/>
      <charset val="2"/>
    </font>
    <font>
      <sz val="39"/>
      <color rgb="FFFFFF2F"/>
      <name val="Wingdings"/>
      <charset val="2"/>
    </font>
    <font>
      <sz val="42"/>
      <color rgb="FFFFFF1E"/>
      <name val="Wingdings"/>
      <charset val="2"/>
    </font>
    <font>
      <sz val="39"/>
      <color rgb="FFFFFF32"/>
      <name val="Wingdings"/>
      <charset val="2"/>
    </font>
    <font>
      <sz val="34"/>
      <color rgb="FFFFFF4C"/>
      <name val="Wingdings"/>
      <charset val="2"/>
    </font>
    <font>
      <sz val="38"/>
      <color rgb="FFFFFF34"/>
      <name val="Wingdings"/>
      <charset val="2"/>
    </font>
    <font>
      <sz val="41"/>
      <color rgb="FFFFFF23"/>
      <name val="Wingdings"/>
      <charset val="2"/>
    </font>
    <font>
      <sz val="40"/>
      <color rgb="FFFFFF2D"/>
      <name val="Wingdings"/>
      <charset val="2"/>
    </font>
  </fonts>
  <fills count="2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5F184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40" fillId="0" borderId="0"/>
    <xf numFmtId="0" fontId="41" fillId="0" borderId="0" applyNumberFormat="0" applyFill="0" applyBorder="0" applyAlignment="0" applyProtection="0">
      <alignment vertical="top"/>
      <protection locked="0"/>
    </xf>
  </cellStyleXfs>
  <cellXfs count="590">
    <xf numFmtId="0" fontId="0" fillId="0" borderId="0" xfId="0"/>
    <xf numFmtId="0" fontId="2" fillId="0" borderId="0" xfId="0" applyFont="1"/>
    <xf numFmtId="0" fontId="2" fillId="0" borderId="0" xfId="0" applyFont="1" applyAlignment="1" applyProtection="1">
      <alignment horizontal="left"/>
    </xf>
    <xf numFmtId="0" fontId="2" fillId="0" borderId="0" xfId="0" applyFont="1" applyAlignment="1">
      <alignment horizontal="center"/>
    </xf>
    <xf numFmtId="0" fontId="3" fillId="0" borderId="1" xfId="0" applyFont="1" applyBorder="1" applyAlignment="1" applyProtection="1">
      <alignment horizontal="center"/>
    </xf>
    <xf numFmtId="0" fontId="2" fillId="0" borderId="2" xfId="0" applyFont="1" applyBorder="1"/>
    <xf numFmtId="0" fontId="2" fillId="0" borderId="2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</xf>
    <xf numFmtId="0" fontId="3" fillId="0" borderId="4" xfId="0" applyFont="1" applyBorder="1" applyAlignment="1" applyProtection="1">
      <alignment horizontal="center"/>
    </xf>
    <xf numFmtId="2" fontId="2" fillId="0" borderId="0" xfId="0" applyNumberFormat="1" applyFont="1" applyBorder="1" applyProtection="1"/>
    <xf numFmtId="168" fontId="2" fillId="0" borderId="0" xfId="0" applyNumberFormat="1" applyFont="1" applyBorder="1"/>
    <xf numFmtId="168" fontId="2" fillId="0" borderId="0" xfId="0" applyNumberFormat="1" applyFont="1" applyBorder="1" applyProtection="1"/>
    <xf numFmtId="0" fontId="3" fillId="0" borderId="7" xfId="0" applyFont="1" applyBorder="1" applyAlignment="1" applyProtection="1"/>
    <xf numFmtId="0" fontId="7" fillId="0" borderId="0" xfId="0" applyFont="1" applyFill="1" applyAlignment="1" applyProtection="1">
      <alignment horizontal="left"/>
    </xf>
    <xf numFmtId="0" fontId="5" fillId="0" borderId="0" xfId="0" applyFont="1" applyFill="1"/>
    <xf numFmtId="0" fontId="7" fillId="0" borderId="0" xfId="0" applyFont="1" applyFill="1"/>
    <xf numFmtId="0" fontId="3" fillId="0" borderId="0" xfId="0" applyFont="1" applyFill="1"/>
    <xf numFmtId="0" fontId="6" fillId="0" borderId="0" xfId="0" applyFont="1" applyFill="1"/>
    <xf numFmtId="0" fontId="7" fillId="0" borderId="0" xfId="0" quotePrefix="1" applyFont="1" applyFill="1" applyAlignment="1" applyProtection="1">
      <alignment horizontal="right"/>
    </xf>
    <xf numFmtId="0" fontId="7" fillId="0" borderId="0" xfId="0" applyFont="1" applyFill="1" applyAlignment="1" applyProtection="1">
      <alignment horizontal="right"/>
    </xf>
    <xf numFmtId="0" fontId="3" fillId="0" borderId="11" xfId="0" applyFont="1" applyFill="1" applyBorder="1" applyAlignment="1" applyProtection="1">
      <alignment horizontal="fill"/>
    </xf>
    <xf numFmtId="0" fontId="3" fillId="0" borderId="0" xfId="0" applyFont="1" applyFill="1" applyBorder="1"/>
    <xf numFmtId="0" fontId="3" fillId="0" borderId="0" xfId="0" applyFont="1" applyFill="1" applyBorder="1" applyAlignment="1" applyProtection="1">
      <alignment horizontal="fill"/>
    </xf>
    <xf numFmtId="0" fontId="9" fillId="0" borderId="0" xfId="0" applyFont="1" applyFill="1" applyBorder="1" applyAlignment="1" applyProtection="1">
      <alignment horizontal="center"/>
    </xf>
    <xf numFmtId="0" fontId="9" fillId="0" borderId="0" xfId="0" quotePrefix="1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2" fillId="0" borderId="0" xfId="0" applyFont="1" applyFill="1"/>
    <xf numFmtId="0" fontId="3" fillId="0" borderId="0" xfId="0" quotePrefix="1" applyFont="1" applyFill="1" applyAlignment="1" applyProtection="1"/>
    <xf numFmtId="0" fontId="9" fillId="0" borderId="0" xfId="0" applyNumberFormat="1" applyFont="1" applyFill="1" applyBorder="1" applyAlignment="1" applyProtection="1">
      <alignment horizontal="center"/>
    </xf>
    <xf numFmtId="0" fontId="9" fillId="0" borderId="0" xfId="0" applyNumberFormat="1" applyFont="1" applyFill="1" applyBorder="1" applyAlignment="1">
      <alignment horizontal="center"/>
    </xf>
    <xf numFmtId="0" fontId="8" fillId="2" borderId="1" xfId="0" applyFont="1" applyFill="1" applyBorder="1" applyAlignment="1" applyProtection="1">
      <alignment horizontal="left"/>
    </xf>
    <xf numFmtId="0" fontId="2" fillId="0" borderId="13" xfId="0" applyFont="1" applyFill="1" applyBorder="1"/>
    <xf numFmtId="0" fontId="2" fillId="0" borderId="11" xfId="0" applyFont="1" applyFill="1" applyBorder="1"/>
    <xf numFmtId="0" fontId="2" fillId="0" borderId="0" xfId="0" applyFont="1" applyFill="1" applyBorder="1"/>
    <xf numFmtId="0" fontId="3" fillId="0" borderId="0" xfId="0" applyFont="1" applyFill="1" applyBorder="1" applyAlignment="1" applyProtection="1">
      <alignment horizontal="center"/>
    </xf>
    <xf numFmtId="0" fontId="3" fillId="0" borderId="0" xfId="0" quotePrefix="1" applyFont="1" applyFill="1" applyBorder="1" applyAlignment="1" applyProtection="1">
      <alignment horizontal="center"/>
    </xf>
    <xf numFmtId="0" fontId="3" fillId="0" borderId="0" xfId="0" applyFont="1" applyFill="1" applyBorder="1" applyAlignment="1">
      <alignment horizontal="left"/>
    </xf>
    <xf numFmtId="0" fontId="3" fillId="2" borderId="14" xfId="0" applyFont="1" applyFill="1" applyBorder="1" applyAlignment="1">
      <alignment horizontal="center"/>
    </xf>
    <xf numFmtId="0" fontId="2" fillId="0" borderId="15" xfId="0" applyFont="1" applyFill="1" applyBorder="1" applyAlignment="1" applyProtection="1">
      <alignment horizontal="left"/>
    </xf>
    <xf numFmtId="0" fontId="2" fillId="3" borderId="0" xfId="0" applyFont="1" applyFill="1" applyBorder="1"/>
    <xf numFmtId="0" fontId="4" fillId="3" borderId="0" xfId="0" applyNumberFormat="1" applyFont="1" applyFill="1" applyBorder="1" applyAlignment="1" applyProtection="1">
      <alignment horizontal="center"/>
    </xf>
    <xf numFmtId="0" fontId="4" fillId="3" borderId="0" xfId="0" applyNumberFormat="1" applyFont="1" applyFill="1" applyBorder="1" applyAlignment="1" applyProtection="1">
      <alignment horizontal="center"/>
      <protection locked="0"/>
    </xf>
    <xf numFmtId="0" fontId="2" fillId="0" borderId="1" xfId="0" applyFont="1" applyFill="1" applyBorder="1" applyAlignment="1" applyProtection="1">
      <alignment horizontal="left"/>
    </xf>
    <xf numFmtId="0" fontId="4" fillId="4" borderId="16" xfId="0" applyFont="1" applyFill="1" applyBorder="1"/>
    <xf numFmtId="0" fontId="14" fillId="4" borderId="11" xfId="0" applyFont="1" applyFill="1" applyBorder="1" applyAlignment="1" applyProtection="1">
      <alignment horizontal="left"/>
    </xf>
    <xf numFmtId="0" fontId="2" fillId="4" borderId="17" xfId="0" applyFont="1" applyFill="1" applyBorder="1" applyAlignment="1" applyProtection="1">
      <alignment horizontal="left"/>
    </xf>
    <xf numFmtId="0" fontId="12" fillId="2" borderId="14" xfId="0" applyFont="1" applyFill="1" applyBorder="1" applyAlignment="1">
      <alignment horizontal="center"/>
    </xf>
    <xf numFmtId="0" fontId="12" fillId="0" borderId="0" xfId="0" applyFont="1" applyFill="1" applyBorder="1" applyAlignment="1" applyProtection="1">
      <alignment horizontal="fill"/>
    </xf>
    <xf numFmtId="0" fontId="17" fillId="0" borderId="0" xfId="0" applyFont="1" applyFill="1" applyBorder="1" applyAlignment="1" applyProtection="1">
      <alignment horizontal="center"/>
    </xf>
    <xf numFmtId="0" fontId="17" fillId="0" borderId="0" xfId="0" quotePrefix="1" applyFont="1" applyFill="1" applyBorder="1" applyAlignment="1" applyProtection="1">
      <alignment horizontal="center"/>
    </xf>
    <xf numFmtId="0" fontId="2" fillId="0" borderId="0" xfId="0" applyFont="1" applyBorder="1"/>
    <xf numFmtId="168" fontId="4" fillId="0" borderId="0" xfId="0" applyNumberFormat="1" applyFont="1" applyBorder="1" applyProtection="1">
      <protection locked="0"/>
    </xf>
    <xf numFmtId="0" fontId="19" fillId="0" borderId="17" xfId="0" applyFont="1" applyFill="1" applyBorder="1"/>
    <xf numFmtId="0" fontId="20" fillId="0" borderId="16" xfId="0" applyFont="1" applyFill="1" applyBorder="1" applyAlignment="1" applyProtection="1">
      <alignment horizontal="left"/>
    </xf>
    <xf numFmtId="0" fontId="19" fillId="0" borderId="18" xfId="0" applyFont="1" applyFill="1" applyBorder="1"/>
    <xf numFmtId="0" fontId="20" fillId="0" borderId="19" xfId="0" quotePrefix="1" applyFont="1" applyFill="1" applyBorder="1" applyAlignment="1" applyProtection="1">
      <alignment horizontal="center"/>
    </xf>
    <xf numFmtId="0" fontId="20" fillId="0" borderId="19" xfId="0" applyFont="1" applyFill="1" applyBorder="1" applyAlignment="1" applyProtection="1">
      <alignment horizontal="center"/>
    </xf>
    <xf numFmtId="0" fontId="20" fillId="0" borderId="19" xfId="0" applyFont="1" applyFill="1" applyBorder="1" applyAlignment="1" applyProtection="1">
      <alignment horizontal="left"/>
    </xf>
    <xf numFmtId="0" fontId="19" fillId="0" borderId="20" xfId="0" applyFont="1" applyFill="1" applyBorder="1"/>
    <xf numFmtId="0" fontId="19" fillId="0" borderId="21" xfId="0" applyFont="1" applyFill="1" applyBorder="1"/>
    <xf numFmtId="0" fontId="19" fillId="0" borderId="0" xfId="0" applyFont="1" applyFill="1"/>
    <xf numFmtId="0" fontId="19" fillId="0" borderId="16" xfId="0" applyFont="1" applyFill="1" applyBorder="1"/>
    <xf numFmtId="0" fontId="19" fillId="0" borderId="19" xfId="0" applyFont="1" applyFill="1" applyBorder="1"/>
    <xf numFmtId="2" fontId="2" fillId="0" borderId="0" xfId="0" applyNumberFormat="1" applyFont="1"/>
    <xf numFmtId="0" fontId="4" fillId="0" borderId="0" xfId="0" applyFont="1" applyProtection="1">
      <protection locked="0"/>
    </xf>
    <xf numFmtId="0" fontId="4" fillId="0" borderId="0" xfId="0" quotePrefix="1" applyFont="1" applyAlignment="1" applyProtection="1">
      <alignment horizontal="left"/>
      <protection locked="0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fill"/>
    </xf>
    <xf numFmtId="0" fontId="2" fillId="0" borderId="0" xfId="0" applyFont="1" applyFill="1" applyProtection="1"/>
    <xf numFmtId="166" fontId="4" fillId="0" borderId="0" xfId="0" applyNumberFormat="1" applyFont="1" applyProtection="1">
      <protection locked="0"/>
    </xf>
    <xf numFmtId="0" fontId="21" fillId="0" borderId="3" xfId="0" applyFont="1" applyFill="1" applyBorder="1" applyAlignment="1" applyProtection="1">
      <alignment horizontal="center"/>
    </xf>
    <xf numFmtId="0" fontId="22" fillId="0" borderId="3" xfId="0" applyFont="1" applyFill="1" applyBorder="1" applyAlignment="1" applyProtection="1">
      <alignment horizontal="center"/>
    </xf>
    <xf numFmtId="0" fontId="4" fillId="4" borderId="11" xfId="0" applyFont="1" applyFill="1" applyBorder="1"/>
    <xf numFmtId="0" fontId="14" fillId="4" borderId="0" xfId="0" applyFont="1" applyFill="1" applyBorder="1" applyAlignment="1" applyProtection="1">
      <alignment horizontal="left"/>
    </xf>
    <xf numFmtId="0" fontId="2" fillId="4" borderId="19" xfId="0" applyFont="1" applyFill="1" applyBorder="1"/>
    <xf numFmtId="0" fontId="15" fillId="4" borderId="13" xfId="0" applyFont="1" applyFill="1" applyBorder="1" applyAlignment="1" applyProtection="1">
      <alignment horizontal="left"/>
    </xf>
    <xf numFmtId="0" fontId="2" fillId="0" borderId="2" xfId="0" applyFont="1" applyFill="1" applyBorder="1" applyAlignment="1" applyProtection="1">
      <alignment horizontal="left"/>
    </xf>
    <xf numFmtId="0" fontId="2" fillId="0" borderId="0" xfId="0" applyFont="1" applyBorder="1" applyAlignment="1" applyProtection="1">
      <alignment horizontal="right"/>
    </xf>
    <xf numFmtId="13" fontId="2" fillId="0" borderId="0" xfId="0" applyNumberFormat="1" applyFont="1" applyBorder="1"/>
    <xf numFmtId="0" fontId="2" fillId="0" borderId="0" xfId="0" applyFont="1" applyBorder="1" applyProtection="1"/>
    <xf numFmtId="0" fontId="12" fillId="2" borderId="7" xfId="0" applyFont="1" applyFill="1" applyBorder="1" applyAlignment="1" applyProtection="1">
      <alignment horizontal="left"/>
    </xf>
    <xf numFmtId="0" fontId="12" fillId="2" borderId="22" xfId="0" applyFont="1" applyFill="1" applyBorder="1" applyAlignment="1">
      <alignment horizontal="center"/>
    </xf>
    <xf numFmtId="0" fontId="12" fillId="2" borderId="23" xfId="0" applyFont="1" applyFill="1" applyBorder="1"/>
    <xf numFmtId="0" fontId="3" fillId="2" borderId="7" xfId="0" applyFont="1" applyFill="1" applyBorder="1" applyAlignment="1" applyProtection="1">
      <alignment horizontal="left"/>
    </xf>
    <xf numFmtId="0" fontId="3" fillId="2" borderId="22" xfId="0" applyFont="1" applyFill="1" applyBorder="1" applyAlignment="1">
      <alignment horizontal="center"/>
    </xf>
    <xf numFmtId="0" fontId="3" fillId="2" borderId="23" xfId="0" quotePrefix="1" applyFont="1" applyFill="1" applyBorder="1" applyAlignment="1" applyProtection="1">
      <alignment horizontal="center"/>
    </xf>
    <xf numFmtId="0" fontId="8" fillId="2" borderId="14" xfId="0" quotePrefix="1" applyFont="1" applyFill="1" applyBorder="1" applyAlignment="1" applyProtection="1">
      <alignment horizontal="center"/>
    </xf>
    <xf numFmtId="0" fontId="8" fillId="2" borderId="14" xfId="0" applyFont="1" applyFill="1" applyBorder="1" applyAlignment="1" applyProtection="1">
      <alignment horizontal="center"/>
    </xf>
    <xf numFmtId="0" fontId="3" fillId="2" borderId="6" xfId="0" applyFont="1" applyFill="1" applyBorder="1"/>
    <xf numFmtId="165" fontId="3" fillId="2" borderId="4" xfId="0" applyNumberFormat="1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165" fontId="3" fillId="2" borderId="6" xfId="0" applyNumberFormat="1" applyFont="1" applyFill="1" applyBorder="1" applyProtection="1"/>
    <xf numFmtId="0" fontId="3" fillId="2" borderId="2" xfId="0" applyFont="1" applyFill="1" applyBorder="1" applyAlignment="1" applyProtection="1">
      <alignment horizontal="right"/>
    </xf>
    <xf numFmtId="165" fontId="3" fillId="2" borderId="6" xfId="0" applyNumberFormat="1" applyFont="1" applyFill="1" applyBorder="1"/>
    <xf numFmtId="0" fontId="8" fillId="0" borderId="0" xfId="0" applyFont="1" applyFill="1" applyBorder="1"/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</xf>
    <xf numFmtId="0" fontId="4" fillId="0" borderId="0" xfId="0" quotePrefix="1" applyFont="1" applyFill="1" applyBorder="1" applyAlignment="1" applyProtection="1">
      <alignment horizontal="left"/>
      <protection locked="0"/>
    </xf>
    <xf numFmtId="0" fontId="2" fillId="2" borderId="15" xfId="0" applyFont="1" applyFill="1" applyBorder="1" applyAlignment="1">
      <alignment horizontal="right"/>
    </xf>
    <xf numFmtId="0" fontId="2" fillId="0" borderId="0" xfId="0" applyFont="1" applyAlignment="1">
      <alignment horizontal="right"/>
    </xf>
    <xf numFmtId="0" fontId="8" fillId="2" borderId="7" xfId="0" applyFont="1" applyFill="1" applyBorder="1" applyAlignment="1" applyProtection="1">
      <alignment horizontal="right"/>
    </xf>
    <xf numFmtId="0" fontId="8" fillId="2" borderId="2" xfId="0" applyFont="1" applyFill="1" applyBorder="1" applyAlignment="1" applyProtection="1">
      <alignment horizontal="right"/>
    </xf>
    <xf numFmtId="0" fontId="8" fillId="2" borderId="15" xfId="0" applyFont="1" applyFill="1" applyBorder="1" applyAlignment="1" applyProtection="1">
      <alignment horizontal="right"/>
    </xf>
    <xf numFmtId="0" fontId="8" fillId="2" borderId="1" xfId="0" applyFont="1" applyFill="1" applyBorder="1" applyAlignment="1">
      <alignment horizontal="right"/>
    </xf>
    <xf numFmtId="0" fontId="8" fillId="2" borderId="2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2" fillId="0" borderId="0" xfId="0" applyFont="1" applyAlignment="1" applyProtection="1">
      <alignment horizontal="right"/>
    </xf>
    <xf numFmtId="1" fontId="2" fillId="0" borderId="0" xfId="0" applyNumberFormat="1" applyFont="1"/>
    <xf numFmtId="2" fontId="4" fillId="0" borderId="0" xfId="0" applyNumberFormat="1" applyFont="1" applyProtection="1">
      <protection locked="0"/>
    </xf>
    <xf numFmtId="0" fontId="11" fillId="0" borderId="0" xfId="1" applyAlignment="1" applyProtection="1"/>
    <xf numFmtId="0" fontId="3" fillId="0" borderId="11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>
      <alignment vertical="center"/>
    </xf>
    <xf numFmtId="0" fontId="3" fillId="0" borderId="0" xfId="0" quotePrefix="1" applyNumberFormat="1" applyFont="1" applyFill="1" applyBorder="1" applyAlignment="1" applyProtection="1">
      <alignment vertical="center"/>
    </xf>
    <xf numFmtId="0" fontId="3" fillId="2" borderId="2" xfId="0" applyFont="1" applyFill="1" applyBorder="1" applyAlignment="1" applyProtection="1">
      <alignment horizontal="left"/>
    </xf>
    <xf numFmtId="0" fontId="12" fillId="2" borderId="2" xfId="0" applyFont="1" applyFill="1" applyBorder="1" applyAlignment="1" applyProtection="1">
      <alignment horizontal="left"/>
    </xf>
    <xf numFmtId="49" fontId="3" fillId="0" borderId="3" xfId="0" applyNumberFormat="1" applyFont="1" applyFill="1" applyBorder="1" applyAlignment="1" applyProtection="1">
      <alignment horizontal="left"/>
    </xf>
    <xf numFmtId="49" fontId="2" fillId="0" borderId="4" xfId="0" applyNumberFormat="1" applyFont="1" applyFill="1" applyBorder="1"/>
    <xf numFmtId="49" fontId="2" fillId="0" borderId="0" xfId="0" applyNumberFormat="1" applyFont="1" applyBorder="1"/>
    <xf numFmtId="49" fontId="2" fillId="0" borderId="6" xfId="0" applyNumberFormat="1" applyFont="1" applyBorder="1"/>
    <xf numFmtId="49" fontId="3" fillId="0" borderId="12" xfId="0" applyNumberFormat="1" applyFont="1" applyFill="1" applyBorder="1"/>
    <xf numFmtId="49" fontId="2" fillId="0" borderId="10" xfId="0" applyNumberFormat="1" applyFont="1" applyFill="1" applyBorder="1"/>
    <xf numFmtId="2" fontId="3" fillId="0" borderId="0" xfId="0" applyNumberFormat="1" applyFont="1"/>
    <xf numFmtId="2" fontId="12" fillId="0" borderId="0" xfId="0" applyNumberFormat="1" applyFont="1"/>
    <xf numFmtId="0" fontId="12" fillId="0" borderId="0" xfId="0" applyFont="1"/>
    <xf numFmtId="0" fontId="12" fillId="2" borderId="2" xfId="0" applyFont="1" applyFill="1" applyBorder="1" applyAlignment="1" applyProtection="1">
      <alignment horizontal="right"/>
    </xf>
    <xf numFmtId="165" fontId="12" fillId="2" borderId="6" xfId="0" applyNumberFormat="1" applyFont="1" applyFill="1" applyBorder="1" applyProtection="1"/>
    <xf numFmtId="0" fontId="2" fillId="0" borderId="0" xfId="0" applyFont="1" applyAlignment="1">
      <alignment horizontal="left"/>
    </xf>
    <xf numFmtId="168" fontId="2" fillId="0" borderId="0" xfId="0" applyNumberFormat="1" applyFont="1" applyFill="1" applyBorder="1" applyAlignment="1">
      <alignment horizontal="center"/>
    </xf>
    <xf numFmtId="9" fontId="4" fillId="4" borderId="13" xfId="0" applyNumberFormat="1" applyFont="1" applyFill="1" applyBorder="1" applyAlignment="1">
      <alignment horizontal="left"/>
    </xf>
    <xf numFmtId="0" fontId="2" fillId="4" borderId="21" xfId="0" applyFont="1" applyFill="1" applyBorder="1"/>
    <xf numFmtId="0" fontId="17" fillId="0" borderId="0" xfId="0" applyFont="1" applyFill="1" applyBorder="1" applyAlignment="1">
      <alignment horizontal="center"/>
    </xf>
    <xf numFmtId="1" fontId="24" fillId="0" borderId="0" xfId="0" applyNumberFormat="1" applyFont="1"/>
    <xf numFmtId="0" fontId="8" fillId="0" borderId="0" xfId="0" applyFont="1" applyFill="1"/>
    <xf numFmtId="2" fontId="2" fillId="2" borderId="14" xfId="0" applyNumberFormat="1" applyFont="1" applyFill="1" applyBorder="1" applyAlignment="1">
      <alignment horizontal="center"/>
    </xf>
    <xf numFmtId="0" fontId="1" fillId="0" borderId="11" xfId="0" applyNumberFormat="1" applyFont="1" applyFill="1" applyBorder="1" applyAlignment="1" applyProtection="1">
      <alignment vertical="center"/>
    </xf>
    <xf numFmtId="0" fontId="22" fillId="0" borderId="4" xfId="0" applyFont="1" applyFill="1" applyBorder="1" applyAlignment="1" applyProtection="1">
      <alignment horizontal="center"/>
    </xf>
    <xf numFmtId="0" fontId="3" fillId="0" borderId="15" xfId="0" applyFont="1" applyFill="1" applyBorder="1" applyAlignment="1">
      <alignment horizontal="center"/>
    </xf>
    <xf numFmtId="0" fontId="3" fillId="0" borderId="12" xfId="0" applyFont="1" applyFill="1" applyBorder="1" applyAlignment="1" applyProtection="1">
      <alignment horizontal="left"/>
    </xf>
    <xf numFmtId="0" fontId="3" fillId="0" borderId="12" xfId="0" applyFont="1" applyFill="1" applyBorder="1" applyAlignment="1">
      <alignment horizontal="center"/>
    </xf>
    <xf numFmtId="0" fontId="3" fillId="0" borderId="10" xfId="0" quotePrefix="1" applyFont="1" applyFill="1" applyBorder="1" applyAlignment="1" applyProtection="1">
      <alignment horizontal="center"/>
    </xf>
    <xf numFmtId="0" fontId="21" fillId="0" borderId="4" xfId="0" applyFont="1" applyFill="1" applyBorder="1" applyAlignment="1" applyProtection="1">
      <alignment horizontal="center"/>
    </xf>
    <xf numFmtId="0" fontId="12" fillId="0" borderId="15" xfId="0" applyFont="1" applyFill="1" applyBorder="1" applyAlignment="1">
      <alignment horizontal="center"/>
    </xf>
    <xf numFmtId="0" fontId="12" fillId="0" borderId="12" xfId="0" applyFont="1" applyFill="1" applyBorder="1" applyAlignment="1" applyProtection="1">
      <alignment horizontal="left"/>
    </xf>
    <xf numFmtId="0" fontId="12" fillId="0" borderId="12" xfId="0" applyFont="1" applyFill="1" applyBorder="1" applyAlignment="1">
      <alignment horizontal="center"/>
    </xf>
    <xf numFmtId="0" fontId="12" fillId="0" borderId="10" xfId="0" quotePrefix="1" applyFont="1" applyFill="1" applyBorder="1" applyAlignment="1" applyProtection="1">
      <alignment horizontal="center"/>
    </xf>
    <xf numFmtId="0" fontId="8" fillId="0" borderId="0" xfId="0" quotePrefix="1" applyNumberFormat="1" applyFont="1" applyFill="1" applyBorder="1" applyAlignment="1" applyProtection="1">
      <alignment horizontal="left"/>
    </xf>
    <xf numFmtId="166" fontId="25" fillId="0" borderId="19" xfId="0" quotePrefix="1" applyNumberFormat="1" applyFont="1" applyFill="1" applyBorder="1" applyAlignment="1" applyProtection="1">
      <alignment horizontal="center"/>
    </xf>
    <xf numFmtId="0" fontId="0" fillId="0" borderId="0" xfId="0"/>
    <xf numFmtId="0" fontId="1" fillId="0" borderId="0" xfId="0" applyFont="1"/>
    <xf numFmtId="0" fontId="13" fillId="0" borderId="0" xfId="0" applyFont="1"/>
    <xf numFmtId="0" fontId="1" fillId="0" borderId="0" xfId="0" applyFont="1" applyBorder="1" applyAlignment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168" fontId="1" fillId="2" borderId="14" xfId="0" applyNumberFormat="1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Border="1"/>
    <xf numFmtId="47" fontId="1" fillId="0" borderId="0" xfId="0" applyNumberFormat="1" applyFont="1"/>
    <xf numFmtId="0" fontId="1" fillId="0" borderId="0" xfId="0" applyFont="1" applyFill="1" applyBorder="1" applyAlignment="1"/>
    <xf numFmtId="0" fontId="27" fillId="0" borderId="0" xfId="0" applyFont="1"/>
    <xf numFmtId="0" fontId="28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36" fillId="0" borderId="0" xfId="0" applyFont="1" applyBorder="1" applyAlignment="1">
      <alignment horizontal="center" vertical="center"/>
    </xf>
    <xf numFmtId="0" fontId="37" fillId="0" borderId="0" xfId="0" applyFont="1" applyBorder="1"/>
    <xf numFmtId="0" fontId="1" fillId="4" borderId="18" xfId="0" applyFont="1" applyFill="1" applyBorder="1" applyAlignment="1" applyProtection="1">
      <alignment horizontal="left"/>
    </xf>
    <xf numFmtId="0" fontId="1" fillId="4" borderId="20" xfId="0" applyFont="1" applyFill="1" applyBorder="1" applyAlignment="1" applyProtection="1">
      <alignment horizontal="left"/>
    </xf>
    <xf numFmtId="0" fontId="1" fillId="0" borderId="0" xfId="0" applyFont="1" applyFill="1"/>
    <xf numFmtId="0" fontId="4" fillId="4" borderId="13" xfId="0" applyNumberFormat="1" applyFont="1" applyFill="1" applyBorder="1" applyAlignment="1">
      <alignment horizontal="left"/>
    </xf>
    <xf numFmtId="0" fontId="1" fillId="10" borderId="17" xfId="0" applyFont="1" applyFill="1" applyBorder="1"/>
    <xf numFmtId="0" fontId="1" fillId="2" borderId="2" xfId="0" applyFont="1" applyFill="1" applyBorder="1" applyAlignment="1">
      <alignment horizontal="right"/>
    </xf>
    <xf numFmtId="165" fontId="4" fillId="2" borderId="15" xfId="0" applyNumberFormat="1" applyFont="1" applyFill="1" applyBorder="1" applyAlignment="1" applyProtection="1">
      <alignment horizontal="right"/>
    </xf>
    <xf numFmtId="165" fontId="4" fillId="2" borderId="10" xfId="0" applyNumberFormat="1" applyFont="1" applyFill="1" applyBorder="1" applyAlignment="1" applyProtection="1">
      <alignment horizontal="right"/>
    </xf>
    <xf numFmtId="165" fontId="2" fillId="0" borderId="0" xfId="0" applyNumberFormat="1" applyFont="1" applyBorder="1" applyProtection="1"/>
    <xf numFmtId="0" fontId="1" fillId="0" borderId="0" xfId="0" quotePrefix="1" applyNumberFormat="1" applyFont="1" applyBorder="1"/>
    <xf numFmtId="0" fontId="1" fillId="0" borderId="12" xfId="0" quotePrefix="1" applyNumberFormat="1" applyFont="1" applyBorder="1"/>
    <xf numFmtId="0" fontId="1" fillId="0" borderId="0" xfId="0" quotePrefix="1" applyNumberFormat="1" applyFont="1" applyBorder="1" applyAlignment="1">
      <alignment horizontal="right"/>
    </xf>
    <xf numFmtId="0" fontId="1" fillId="0" borderId="12" xfId="0" quotePrefix="1" applyNumberFormat="1" applyFont="1" applyBorder="1" applyAlignment="1">
      <alignment horizontal="right"/>
    </xf>
    <xf numFmtId="0" fontId="2" fillId="0" borderId="12" xfId="0" applyFont="1" applyBorder="1"/>
    <xf numFmtId="0" fontId="1" fillId="4" borderId="0" xfId="0" applyFont="1" applyFill="1" applyBorder="1" applyAlignment="1" applyProtection="1">
      <alignment horizontal="right"/>
    </xf>
    <xf numFmtId="0" fontId="1" fillId="4" borderId="11" xfId="0" applyFont="1" applyFill="1" applyBorder="1" applyAlignment="1" applyProtection="1">
      <alignment horizontal="right"/>
    </xf>
    <xf numFmtId="0" fontId="1" fillId="4" borderId="13" xfId="0" applyFont="1" applyFill="1" applyBorder="1" applyAlignment="1" applyProtection="1">
      <alignment horizontal="right"/>
    </xf>
    <xf numFmtId="0" fontId="1" fillId="0" borderId="3" xfId="0" applyFont="1" applyFill="1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0" xfId="0" quotePrefix="1" applyNumberFormat="1" applyFont="1" applyBorder="1" applyAlignment="1">
      <alignment horizontal="right" vertical="center"/>
    </xf>
    <xf numFmtId="0" fontId="1" fillId="0" borderId="12" xfId="0" quotePrefix="1" applyNumberFormat="1" applyFont="1" applyBorder="1" applyAlignment="1">
      <alignment horizontal="right" vertical="center"/>
    </xf>
    <xf numFmtId="17" fontId="1" fillId="0" borderId="0" xfId="0" applyNumberFormat="1" applyFont="1"/>
    <xf numFmtId="0" fontId="1" fillId="0" borderId="0" xfId="0" applyNumberFormat="1" applyFont="1"/>
    <xf numFmtId="0" fontId="1" fillId="0" borderId="0" xfId="0" applyNumberFormat="1" applyFont="1" applyBorder="1"/>
    <xf numFmtId="0" fontId="0" fillId="0" borderId="0" xfId="0" applyNumberFormat="1"/>
    <xf numFmtId="0" fontId="27" fillId="0" borderId="0" xfId="0" applyNumberFormat="1" applyFont="1"/>
    <xf numFmtId="0" fontId="27" fillId="0" borderId="0" xfId="0" applyNumberFormat="1" applyFont="1" applyBorder="1"/>
    <xf numFmtId="0" fontId="1" fillId="0" borderId="1" xfId="0" applyFont="1" applyBorder="1" applyAlignment="1">
      <alignment vertical="center"/>
    </xf>
    <xf numFmtId="0" fontId="1" fillId="8" borderId="32" xfId="0" applyFont="1" applyFill="1" applyBorder="1" applyAlignment="1">
      <alignment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28" xfId="0" applyFont="1" applyFill="1" applyBorder="1" applyAlignment="1">
      <alignment horizontal="center" vertical="center"/>
    </xf>
    <xf numFmtId="0" fontId="1" fillId="7" borderId="30" xfId="0" applyFont="1" applyFill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9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1" fillId="7" borderId="31" xfId="0" applyFont="1" applyFill="1" applyBorder="1" applyAlignment="1">
      <alignment vertical="center"/>
    </xf>
    <xf numFmtId="0" fontId="1" fillId="0" borderId="13" xfId="0" applyFont="1" applyBorder="1" applyAlignment="1">
      <alignment vertical="center"/>
    </xf>
    <xf numFmtId="0" fontId="1" fillId="0" borderId="21" xfId="0" applyFont="1" applyBorder="1" applyAlignment="1">
      <alignment horizontal="center" vertical="center"/>
    </xf>
    <xf numFmtId="0" fontId="26" fillId="0" borderId="0" xfId="0" applyFont="1"/>
    <xf numFmtId="0" fontId="1" fillId="11" borderId="1" xfId="0" applyFont="1" applyFill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0" fontId="1" fillId="11" borderId="4" xfId="0" applyFont="1" applyFill="1" applyBorder="1" applyAlignment="1">
      <alignment horizontal="center"/>
    </xf>
    <xf numFmtId="0" fontId="1" fillId="11" borderId="2" xfId="0" applyFont="1" applyFill="1" applyBorder="1" applyAlignment="1">
      <alignment horizontal="center"/>
    </xf>
    <xf numFmtId="0" fontId="1" fillId="11" borderId="0" xfId="0" applyFont="1" applyFill="1" applyBorder="1" applyAlignment="1">
      <alignment horizontal="center"/>
    </xf>
    <xf numFmtId="0" fontId="1" fillId="11" borderId="6" xfId="0" applyFont="1" applyFill="1" applyBorder="1" applyAlignment="1">
      <alignment horizontal="center"/>
    </xf>
    <xf numFmtId="0" fontId="1" fillId="11" borderId="15" xfId="0" applyFont="1" applyFill="1" applyBorder="1" applyAlignment="1">
      <alignment horizontal="center"/>
    </xf>
    <xf numFmtId="0" fontId="1" fillId="11" borderId="12" xfId="0" applyFont="1" applyFill="1" applyBorder="1" applyAlignment="1">
      <alignment horizontal="center"/>
    </xf>
    <xf numFmtId="0" fontId="1" fillId="11" borderId="10" xfId="0" applyFont="1" applyFill="1" applyBorder="1" applyAlignment="1">
      <alignment horizontal="center"/>
    </xf>
    <xf numFmtId="0" fontId="13" fillId="0" borderId="4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3" xfId="0" applyFont="1" applyBorder="1" applyAlignment="1">
      <alignment horizontal="left" vertical="center"/>
    </xf>
    <xf numFmtId="0" fontId="13" fillId="0" borderId="3" xfId="0" applyFont="1" applyBorder="1" applyAlignment="1">
      <alignment horizontal="right" vertical="center"/>
    </xf>
    <xf numFmtId="0" fontId="1" fillId="0" borderId="33" xfId="0" applyFont="1" applyBorder="1"/>
    <xf numFmtId="0" fontId="1" fillId="12" borderId="1" xfId="0" applyFont="1" applyFill="1" applyBorder="1"/>
    <xf numFmtId="0" fontId="1" fillId="12" borderId="3" xfId="0" applyFont="1" applyFill="1" applyBorder="1"/>
    <xf numFmtId="0" fontId="1" fillId="12" borderId="4" xfId="0" applyFont="1" applyFill="1" applyBorder="1"/>
    <xf numFmtId="0" fontId="1" fillId="12" borderId="2" xfId="0" applyFont="1" applyFill="1" applyBorder="1"/>
    <xf numFmtId="0" fontId="1" fillId="12" borderId="0" xfId="0" applyFont="1" applyFill="1" applyBorder="1"/>
    <xf numFmtId="0" fontId="1" fillId="12" borderId="6" xfId="0" applyFont="1" applyFill="1" applyBorder="1"/>
    <xf numFmtId="0" fontId="1" fillId="12" borderId="15" xfId="0" applyFont="1" applyFill="1" applyBorder="1"/>
    <xf numFmtId="0" fontId="1" fillId="12" borderId="12" xfId="0" applyFont="1" applyFill="1" applyBorder="1"/>
    <xf numFmtId="0" fontId="1" fillId="12" borderId="10" xfId="0" applyFont="1" applyFill="1" applyBorder="1"/>
    <xf numFmtId="0" fontId="1" fillId="13" borderId="1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13" borderId="0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14" borderId="4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/>
    </xf>
    <xf numFmtId="0" fontId="1" fillId="14" borderId="0" xfId="0" applyFont="1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15" borderId="2" xfId="0" applyFont="1" applyFill="1" applyBorder="1" applyAlignment="1">
      <alignment horizontal="center"/>
    </xf>
    <xf numFmtId="0" fontId="1" fillId="15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15" borderId="6" xfId="0" applyFont="1" applyFill="1" applyBorder="1" applyAlignment="1">
      <alignment horizontal="center"/>
    </xf>
    <xf numFmtId="0" fontId="1" fillId="14" borderId="6" xfId="0" applyFont="1" applyFill="1" applyBorder="1" applyAlignment="1">
      <alignment horizontal="center"/>
    </xf>
    <xf numFmtId="0" fontId="1" fillId="15" borderId="15" xfId="0" applyFont="1" applyFill="1" applyBorder="1" applyAlignment="1">
      <alignment horizontal="center"/>
    </xf>
    <xf numFmtId="0" fontId="1" fillId="15" borderId="12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0" borderId="1" xfId="0" applyNumberFormat="1" applyFont="1" applyFill="1" applyBorder="1" applyAlignment="1">
      <alignment horizontal="center" vertical="center"/>
    </xf>
    <xf numFmtId="0" fontId="1" fillId="0" borderId="3" xfId="0" applyNumberFormat="1" applyFont="1" applyFill="1" applyBorder="1" applyAlignment="1">
      <alignment horizontal="center" vertical="center"/>
    </xf>
    <xf numFmtId="0" fontId="1" fillId="0" borderId="2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/>
    </xf>
    <xf numFmtId="0" fontId="1" fillId="0" borderId="15" xfId="0" applyNumberFormat="1" applyFont="1" applyFill="1" applyBorder="1" applyAlignment="1">
      <alignment horizontal="center" vertical="center"/>
    </xf>
    <xf numFmtId="0" fontId="1" fillId="0" borderId="12" xfId="0" applyNumberFormat="1" applyFont="1" applyFill="1" applyBorder="1" applyAlignment="1">
      <alignment horizontal="center" vertical="center"/>
    </xf>
    <xf numFmtId="172" fontId="19" fillId="0" borderId="3" xfId="0" applyNumberFormat="1" applyFont="1" applyFill="1" applyBorder="1" applyAlignment="1">
      <alignment horizontal="center" vertical="center"/>
    </xf>
    <xf numFmtId="172" fontId="19" fillId="0" borderId="4" xfId="0" applyNumberFormat="1" applyFont="1" applyFill="1" applyBorder="1" applyAlignment="1">
      <alignment horizontal="center" vertical="center"/>
    </xf>
    <xf numFmtId="172" fontId="19" fillId="0" borderId="0" xfId="0" applyNumberFormat="1" applyFont="1" applyFill="1" applyBorder="1" applyAlignment="1">
      <alignment horizontal="center" vertical="center"/>
    </xf>
    <xf numFmtId="172" fontId="19" fillId="0" borderId="6" xfId="0" applyNumberFormat="1" applyFont="1" applyFill="1" applyBorder="1" applyAlignment="1">
      <alignment horizontal="center" vertical="center"/>
    </xf>
    <xf numFmtId="172" fontId="19" fillId="0" borderId="12" xfId="0" applyNumberFormat="1" applyFont="1" applyFill="1" applyBorder="1" applyAlignment="1">
      <alignment horizontal="center" vertical="center"/>
    </xf>
    <xf numFmtId="172" fontId="19" fillId="0" borderId="10" xfId="0" applyNumberFormat="1" applyFont="1" applyFill="1" applyBorder="1" applyAlignment="1">
      <alignment horizontal="center" vertical="center"/>
    </xf>
    <xf numFmtId="0" fontId="8" fillId="0" borderId="14" xfId="0" applyNumberFormat="1" applyFont="1" applyFill="1" applyBorder="1" applyAlignment="1" applyProtection="1">
      <alignment horizontal="center"/>
    </xf>
    <xf numFmtId="0" fontId="8" fillId="3" borderId="14" xfId="0" applyNumberFormat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left"/>
    </xf>
    <xf numFmtId="166" fontId="25" fillId="0" borderId="19" xfId="0" applyNumberFormat="1" applyFont="1" applyFill="1" applyBorder="1" applyAlignment="1" applyProtection="1">
      <alignment horizontal="center"/>
    </xf>
    <xf numFmtId="0" fontId="1" fillId="16" borderId="0" xfId="0" applyFont="1" applyFill="1" applyBorder="1" applyAlignment="1" applyProtection="1">
      <alignment horizontal="left"/>
    </xf>
    <xf numFmtId="0" fontId="3" fillId="16" borderId="0" xfId="0" applyFont="1" applyFill="1" applyBorder="1" applyAlignment="1" applyProtection="1">
      <alignment horizontal="left"/>
    </xf>
    <xf numFmtId="0" fontId="8" fillId="2" borderId="2" xfId="0" applyFont="1" applyFill="1" applyBorder="1" applyAlignment="1" applyProtection="1">
      <alignment horizontal="center"/>
    </xf>
    <xf numFmtId="0" fontId="8" fillId="2" borderId="6" xfId="0" applyFont="1" applyFill="1" applyBorder="1" applyAlignment="1" applyProtection="1">
      <alignment horizontal="center"/>
    </xf>
    <xf numFmtId="0" fontId="2" fillId="16" borderId="17" xfId="0" applyFont="1" applyFill="1" applyBorder="1"/>
    <xf numFmtId="0" fontId="1" fillId="16" borderId="11" xfId="0" applyFont="1" applyFill="1" applyBorder="1" applyAlignment="1" applyProtection="1">
      <alignment horizontal="left"/>
    </xf>
    <xf numFmtId="0" fontId="1" fillId="16" borderId="11" xfId="0" applyFont="1" applyFill="1" applyBorder="1"/>
    <xf numFmtId="0" fontId="3" fillId="16" borderId="11" xfId="0" applyFont="1" applyFill="1" applyBorder="1"/>
    <xf numFmtId="0" fontId="2" fillId="16" borderId="16" xfId="0" applyFont="1" applyFill="1" applyBorder="1"/>
    <xf numFmtId="0" fontId="2" fillId="16" borderId="18" xfId="0" applyFont="1" applyFill="1" applyBorder="1"/>
    <xf numFmtId="0" fontId="2" fillId="16" borderId="19" xfId="0" applyFont="1" applyFill="1" applyBorder="1"/>
    <xf numFmtId="0" fontId="2" fillId="16" borderId="20" xfId="0" applyFont="1" applyFill="1" applyBorder="1" applyAlignment="1" applyProtection="1">
      <alignment horizontal="left"/>
    </xf>
    <xf numFmtId="0" fontId="2" fillId="16" borderId="13" xfId="0" applyFont="1" applyFill="1" applyBorder="1"/>
    <xf numFmtId="0" fontId="4" fillId="16" borderId="13" xfId="0" applyFont="1" applyFill="1" applyBorder="1" applyProtection="1">
      <protection locked="0"/>
    </xf>
    <xf numFmtId="0" fontId="2" fillId="16" borderId="21" xfId="0" applyFont="1" applyFill="1" applyBorder="1"/>
    <xf numFmtId="0" fontId="1" fillId="16" borderId="11" xfId="0" applyFont="1" applyFill="1" applyBorder="1" applyAlignment="1" applyProtection="1">
      <alignment horizontal="right"/>
    </xf>
    <xf numFmtId="0" fontId="1" fillId="16" borderId="0" xfId="0" applyFont="1" applyFill="1" applyBorder="1" applyAlignment="1" applyProtection="1">
      <alignment horizontal="right"/>
    </xf>
    <xf numFmtId="0" fontId="1" fillId="13" borderId="2" xfId="0" applyFont="1" applyFill="1" applyBorder="1" applyAlignment="1">
      <alignment horizontal="center"/>
    </xf>
    <xf numFmtId="0" fontId="0" fillId="11" borderId="1" xfId="0" applyFill="1" applyBorder="1"/>
    <xf numFmtId="0" fontId="0" fillId="11" borderId="3" xfId="0" applyFill="1" applyBorder="1"/>
    <xf numFmtId="0" fontId="0" fillId="11" borderId="4" xfId="0" applyFill="1" applyBorder="1"/>
    <xf numFmtId="0" fontId="0" fillId="11" borderId="2" xfId="0" applyFill="1" applyBorder="1"/>
    <xf numFmtId="0" fontId="0" fillId="11" borderId="0" xfId="0" applyFill="1" applyBorder="1"/>
    <xf numFmtId="0" fontId="0" fillId="11" borderId="6" xfId="0" applyFill="1" applyBorder="1"/>
    <xf numFmtId="0" fontId="0" fillId="11" borderId="15" xfId="0" applyFill="1" applyBorder="1"/>
    <xf numFmtId="0" fontId="0" fillId="11" borderId="12" xfId="0" applyFill="1" applyBorder="1"/>
    <xf numFmtId="0" fontId="0" fillId="11" borderId="10" xfId="0" applyFill="1" applyBorder="1"/>
    <xf numFmtId="0" fontId="8" fillId="0" borderId="13" xfId="0" applyFont="1" applyFill="1" applyBorder="1"/>
    <xf numFmtId="0" fontId="8" fillId="3" borderId="14" xfId="0" applyNumberFormat="1" applyFont="1" applyFill="1" applyBorder="1" applyAlignment="1">
      <alignment horizontal="center"/>
    </xf>
    <xf numFmtId="0" fontId="8" fillId="0" borderId="0" xfId="0" applyNumberFormat="1" applyFont="1" applyFill="1" applyBorder="1"/>
    <xf numFmtId="166" fontId="25" fillId="0" borderId="19" xfId="0" applyNumberFormat="1" applyFont="1" applyFill="1" applyBorder="1" applyAlignment="1">
      <alignment horizontal="center"/>
    </xf>
    <xf numFmtId="0" fontId="25" fillId="0" borderId="21" xfId="0" applyFont="1" applyFill="1" applyBorder="1"/>
    <xf numFmtId="0" fontId="1" fillId="0" borderId="1" xfId="0" applyNumberFormat="1" applyFont="1" applyFill="1" applyBorder="1" applyAlignment="1">
      <alignment horizontal="center" vertical="center" wrapText="1"/>
    </xf>
    <xf numFmtId="0" fontId="1" fillId="0" borderId="3" xfId="0" applyNumberFormat="1" applyFont="1" applyFill="1" applyBorder="1" applyAlignment="1">
      <alignment horizontal="center" vertical="center" wrapText="1"/>
    </xf>
    <xf numFmtId="0" fontId="1" fillId="0" borderId="2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 wrapText="1"/>
    </xf>
    <xf numFmtId="0" fontId="1" fillId="0" borderId="15" xfId="0" applyNumberFormat="1" applyFont="1" applyFill="1" applyBorder="1" applyAlignment="1">
      <alignment horizontal="center" vertical="center" wrapText="1"/>
    </xf>
    <xf numFmtId="0" fontId="1" fillId="0" borderId="12" xfId="0" applyNumberFormat="1" applyFont="1" applyFill="1" applyBorder="1" applyAlignment="1">
      <alignment horizontal="center" vertical="center" wrapText="1"/>
    </xf>
    <xf numFmtId="173" fontId="1" fillId="0" borderId="3" xfId="0" applyNumberFormat="1" applyFont="1" applyFill="1" applyBorder="1" applyAlignment="1">
      <alignment horizontal="center" vertical="center" wrapText="1"/>
    </xf>
    <xf numFmtId="173" fontId="1" fillId="0" borderId="4" xfId="0" applyNumberFormat="1" applyFont="1" applyFill="1" applyBorder="1" applyAlignment="1">
      <alignment horizontal="center" vertical="center" wrapText="1"/>
    </xf>
    <xf numFmtId="173" fontId="1" fillId="0" borderId="0" xfId="0" applyNumberFormat="1" applyFont="1" applyFill="1" applyBorder="1" applyAlignment="1">
      <alignment horizontal="center" vertical="center" wrapText="1"/>
    </xf>
    <xf numFmtId="173" fontId="1" fillId="0" borderId="6" xfId="0" applyNumberFormat="1" applyFont="1" applyFill="1" applyBorder="1" applyAlignment="1">
      <alignment horizontal="center" vertical="center" wrapText="1"/>
    </xf>
    <xf numFmtId="173" fontId="1" fillId="0" borderId="12" xfId="0" applyNumberFormat="1" applyFont="1" applyFill="1" applyBorder="1" applyAlignment="1">
      <alignment horizontal="center" vertical="center" wrapText="1"/>
    </xf>
    <xf numFmtId="173" fontId="1" fillId="0" borderId="10" xfId="0" applyNumberFormat="1" applyFont="1" applyFill="1" applyBorder="1" applyAlignment="1">
      <alignment horizontal="center" vertical="center" wrapText="1"/>
    </xf>
    <xf numFmtId="2" fontId="8" fillId="0" borderId="0" xfId="0" applyNumberFormat="1" applyFont="1" applyBorder="1" applyAlignment="1">
      <alignment vertical="center"/>
    </xf>
    <xf numFmtId="2" fontId="3" fillId="0" borderId="0" xfId="0" applyNumberFormat="1" applyFont="1" applyBorder="1" applyAlignment="1">
      <alignment vertical="center"/>
    </xf>
    <xf numFmtId="2" fontId="1" fillId="0" borderId="0" xfId="0" applyNumberFormat="1" applyFont="1" applyBorder="1" applyAlignment="1">
      <alignment vertical="center"/>
    </xf>
    <xf numFmtId="2" fontId="1" fillId="0" borderId="13" xfId="0" applyNumberFormat="1" applyFont="1" applyBorder="1" applyAlignment="1">
      <alignment vertical="center"/>
    </xf>
    <xf numFmtId="0" fontId="1" fillId="5" borderId="1" xfId="0" applyFont="1" applyFill="1" applyBorder="1" applyAlignment="1">
      <alignment horizontal="right"/>
    </xf>
    <xf numFmtId="0" fontId="1" fillId="5" borderId="3" xfId="0" applyFont="1" applyFill="1" applyBorder="1" applyAlignment="1">
      <alignment horizontal="right"/>
    </xf>
    <xf numFmtId="0" fontId="1" fillId="5" borderId="4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0" fontId="1" fillId="5" borderId="0" xfId="0" applyFont="1" applyFill="1" applyBorder="1" applyAlignment="1">
      <alignment horizontal="right"/>
    </xf>
    <xf numFmtId="0" fontId="1" fillId="5" borderId="6" xfId="0" applyFont="1" applyFill="1" applyBorder="1" applyAlignment="1">
      <alignment horizontal="right"/>
    </xf>
    <xf numFmtId="0" fontId="1" fillId="5" borderId="15" xfId="0" applyFont="1" applyFill="1" applyBorder="1" applyAlignment="1">
      <alignment horizontal="right"/>
    </xf>
    <xf numFmtId="0" fontId="1" fillId="5" borderId="12" xfId="0" applyFont="1" applyFill="1" applyBorder="1" applyAlignment="1">
      <alignment horizontal="right"/>
    </xf>
    <xf numFmtId="0" fontId="1" fillId="5" borderId="10" xfId="0" applyFont="1" applyFill="1" applyBorder="1" applyAlignment="1">
      <alignment horizontal="right"/>
    </xf>
    <xf numFmtId="0" fontId="8" fillId="2" borderId="7" xfId="0" applyFont="1" applyFill="1" applyBorder="1" applyAlignment="1" applyProtection="1">
      <alignment horizontal="center"/>
    </xf>
    <xf numFmtId="0" fontId="8" fillId="2" borderId="23" xfId="0" applyFont="1" applyFill="1" applyBorder="1" applyAlignment="1" applyProtection="1">
      <alignment horizontal="center"/>
    </xf>
    <xf numFmtId="0" fontId="1" fillId="0" borderId="0" xfId="0" quotePrefix="1" applyFont="1"/>
    <xf numFmtId="0" fontId="39" fillId="0" borderId="14" xfId="0" applyFont="1" applyBorder="1"/>
    <xf numFmtId="0" fontId="42" fillId="0" borderId="14" xfId="0" applyFont="1" applyBorder="1"/>
    <xf numFmtId="0" fontId="39" fillId="0" borderId="14" xfId="0" applyFont="1" applyBorder="1" applyAlignment="1">
      <alignment horizontal="right"/>
    </xf>
    <xf numFmtId="0" fontId="39" fillId="0" borderId="14" xfId="0" applyNumberFormat="1" applyFont="1" applyBorder="1" applyAlignment="1">
      <alignment horizontal="right"/>
    </xf>
    <xf numFmtId="0" fontId="18" fillId="0" borderId="0" xfId="0" applyNumberFormat="1" applyFont="1" applyBorder="1" applyAlignment="1">
      <alignment horizontal="right"/>
    </xf>
    <xf numFmtId="0" fontId="42" fillId="0" borderId="2" xfId="0" applyFont="1" applyBorder="1" applyAlignment="1" applyProtection="1">
      <alignment horizontal="right"/>
    </xf>
    <xf numFmtId="0" fontId="12" fillId="0" borderId="14" xfId="0" applyNumberFormat="1" applyFont="1" applyBorder="1" applyAlignment="1">
      <alignment horizontal="right"/>
    </xf>
    <xf numFmtId="0" fontId="42" fillId="0" borderId="14" xfId="0" applyFont="1" applyBorder="1" applyAlignment="1">
      <alignment horizontal="right"/>
    </xf>
    <xf numFmtId="0" fontId="42" fillId="0" borderId="14" xfId="0" applyNumberFormat="1" applyFont="1" applyBorder="1" applyAlignment="1">
      <alignment horizontal="right"/>
    </xf>
    <xf numFmtId="0" fontId="3" fillId="0" borderId="14" xfId="0" applyNumberFormat="1" applyFont="1" applyBorder="1" applyAlignment="1">
      <alignment horizontal="right"/>
    </xf>
    <xf numFmtId="1" fontId="42" fillId="0" borderId="2" xfId="0" applyNumberFormat="1" applyFont="1" applyBorder="1" applyAlignment="1" applyProtection="1">
      <alignment horizontal="center"/>
    </xf>
    <xf numFmtId="1" fontId="39" fillId="0" borderId="2" xfId="0" applyNumberFormat="1" applyFont="1" applyBorder="1" applyAlignment="1" applyProtection="1">
      <alignment horizontal="center"/>
    </xf>
    <xf numFmtId="0" fontId="42" fillId="0" borderId="2" xfId="0" applyFont="1" applyBorder="1" applyAlignment="1" applyProtection="1">
      <alignment horizontal="center"/>
    </xf>
    <xf numFmtId="1" fontId="42" fillId="0" borderId="15" xfId="0" applyNumberFormat="1" applyFont="1" applyBorder="1" applyAlignment="1" applyProtection="1">
      <alignment horizontal="center"/>
    </xf>
    <xf numFmtId="0" fontId="39" fillId="0" borderId="0" xfId="0" applyNumberFormat="1" applyFont="1" applyBorder="1" applyAlignment="1" applyProtection="1">
      <alignment horizontal="center"/>
    </xf>
    <xf numFmtId="0" fontId="39" fillId="0" borderId="6" xfId="0" applyNumberFormat="1" applyFont="1" applyBorder="1" applyAlignment="1" applyProtection="1">
      <alignment horizontal="center"/>
    </xf>
    <xf numFmtId="0" fontId="2" fillId="0" borderId="0" xfId="0" applyNumberFormat="1" applyFont="1" applyBorder="1" applyAlignment="1">
      <alignment horizontal="center"/>
    </xf>
    <xf numFmtId="0" fontId="2" fillId="0" borderId="0" xfId="0" applyNumberFormat="1" applyFont="1" applyBorder="1" applyAlignment="1" applyProtection="1">
      <alignment horizontal="center"/>
    </xf>
    <xf numFmtId="0" fontId="2" fillId="0" borderId="6" xfId="0" applyNumberFormat="1" applyFont="1" applyBorder="1" applyAlignment="1" applyProtection="1">
      <alignment horizontal="center"/>
    </xf>
    <xf numFmtId="0" fontId="42" fillId="0" borderId="0" xfId="0" applyNumberFormat="1" applyFont="1" applyBorder="1" applyAlignment="1" applyProtection="1">
      <alignment horizontal="center"/>
    </xf>
    <xf numFmtId="0" fontId="42" fillId="0" borderId="6" xfId="0" applyNumberFormat="1" applyFont="1" applyBorder="1" applyAlignment="1" applyProtection="1">
      <alignment horizontal="center"/>
    </xf>
    <xf numFmtId="0" fontId="42" fillId="0" borderId="12" xfId="0" applyNumberFormat="1" applyFont="1" applyBorder="1" applyAlignment="1" applyProtection="1">
      <alignment horizontal="center"/>
    </xf>
    <xf numFmtId="0" fontId="42" fillId="0" borderId="10" xfId="0" applyNumberFormat="1" applyFont="1" applyBorder="1" applyAlignment="1" applyProtection="1">
      <alignment horizontal="center"/>
    </xf>
    <xf numFmtId="0" fontId="42" fillId="0" borderId="6" xfId="0" applyFont="1" applyBorder="1" applyAlignment="1" applyProtection="1">
      <alignment horizontal="center"/>
    </xf>
    <xf numFmtId="1" fontId="39" fillId="0" borderId="1" xfId="0" applyNumberFormat="1" applyFont="1" applyBorder="1" applyAlignment="1" applyProtection="1">
      <alignment horizontal="center"/>
    </xf>
    <xf numFmtId="0" fontId="39" fillId="0" borderId="3" xfId="0" applyNumberFormat="1" applyFont="1" applyBorder="1" applyAlignment="1" applyProtection="1">
      <alignment horizontal="center"/>
    </xf>
    <xf numFmtId="0" fontId="39" fillId="0" borderId="4" xfId="0" applyNumberFormat="1" applyFont="1" applyBorder="1" applyAlignment="1" applyProtection="1">
      <alignment horizontal="center"/>
    </xf>
    <xf numFmtId="1" fontId="39" fillId="0" borderId="15" xfId="0" applyNumberFormat="1" applyFont="1" applyBorder="1" applyAlignment="1" applyProtection="1">
      <alignment horizontal="center"/>
    </xf>
    <xf numFmtId="0" fontId="39" fillId="0" borderId="12" xfId="0" applyNumberFormat="1" applyFont="1" applyBorder="1" applyAlignment="1" applyProtection="1">
      <alignment horizontal="center"/>
    </xf>
    <xf numFmtId="0" fontId="39" fillId="0" borderId="10" xfId="0" applyNumberFormat="1" applyFont="1" applyBorder="1" applyAlignment="1" applyProtection="1">
      <alignment horizontal="center"/>
    </xf>
    <xf numFmtId="1" fontId="42" fillId="0" borderId="1" xfId="0" applyNumberFormat="1" applyFont="1" applyBorder="1" applyAlignment="1" applyProtection="1">
      <alignment horizontal="center"/>
    </xf>
    <xf numFmtId="0" fontId="42" fillId="0" borderId="3" xfId="0" applyNumberFormat="1" applyFont="1" applyBorder="1" applyAlignment="1" applyProtection="1">
      <alignment horizontal="center"/>
    </xf>
    <xf numFmtId="0" fontId="42" fillId="0" borderId="4" xfId="0" applyNumberFormat="1" applyFont="1" applyBorder="1" applyAlignment="1" applyProtection="1">
      <alignment horizontal="center"/>
    </xf>
    <xf numFmtId="0" fontId="2" fillId="0" borderId="3" xfId="0" applyFont="1" applyBorder="1"/>
    <xf numFmtId="0" fontId="18" fillId="0" borderId="2" xfId="0" applyNumberFormat="1" applyFont="1" applyBorder="1" applyAlignment="1">
      <alignment horizontal="right"/>
    </xf>
    <xf numFmtId="1" fontId="1" fillId="0" borderId="6" xfId="0" applyNumberFormat="1" applyFont="1" applyBorder="1" applyAlignment="1">
      <alignment horizontal="right"/>
    </xf>
    <xf numFmtId="0" fontId="39" fillId="0" borderId="8" xfId="0" applyFont="1" applyBorder="1" applyAlignment="1" applyProtection="1">
      <alignment horizontal="right"/>
    </xf>
    <xf numFmtId="0" fontId="1" fillId="0" borderId="3" xfId="0" applyNumberFormat="1" applyFont="1" applyBorder="1" applyAlignment="1">
      <alignment horizontal="right"/>
    </xf>
    <xf numFmtId="0" fontId="42" fillId="0" borderId="8" xfId="0" applyFont="1" applyBorder="1" applyAlignment="1" applyProtection="1">
      <alignment horizontal="right"/>
    </xf>
    <xf numFmtId="0" fontId="42" fillId="0" borderId="3" xfId="0" applyFont="1" applyBorder="1"/>
    <xf numFmtId="0" fontId="2" fillId="0" borderId="0" xfId="0" applyFont="1" applyAlignment="1">
      <alignment vertical="center"/>
    </xf>
    <xf numFmtId="0" fontId="1" fillId="0" borderId="2" xfId="0" applyFont="1" applyBorder="1" applyAlignment="1">
      <alignment horizontal="right"/>
    </xf>
    <xf numFmtId="0" fontId="1" fillId="0" borderId="2" xfId="0" applyFont="1" applyBorder="1" applyAlignment="1" applyProtection="1">
      <alignment horizontal="right"/>
    </xf>
    <xf numFmtId="169" fontId="1" fillId="0" borderId="6" xfId="0" applyNumberFormat="1" applyFont="1" applyBorder="1" applyAlignment="1" applyProtection="1">
      <alignment horizontal="right"/>
    </xf>
    <xf numFmtId="169" fontId="1" fillId="0" borderId="6" xfId="0" applyNumberFormat="1" applyFont="1" applyBorder="1" applyProtection="1"/>
    <xf numFmtId="169" fontId="1" fillId="0" borderId="6" xfId="0" applyNumberFormat="1" applyFont="1" applyBorder="1"/>
    <xf numFmtId="166" fontId="1" fillId="0" borderId="2" xfId="0" applyNumberFormat="1" applyFont="1" applyBorder="1" applyAlignment="1" applyProtection="1">
      <alignment horizontal="right"/>
    </xf>
    <xf numFmtId="0" fontId="39" fillId="0" borderId="1" xfId="0" applyFont="1" applyBorder="1" applyAlignment="1">
      <alignment horizontal="right"/>
    </xf>
    <xf numFmtId="1" fontId="39" fillId="0" borderId="4" xfId="0" applyNumberFormat="1" applyFont="1" applyBorder="1" applyAlignment="1" applyProtection="1">
      <alignment horizontal="right"/>
    </xf>
    <xf numFmtId="0" fontId="39" fillId="0" borderId="2" xfId="0" applyFont="1" applyBorder="1" applyAlignment="1" applyProtection="1">
      <alignment horizontal="right"/>
    </xf>
    <xf numFmtId="1" fontId="39" fillId="0" borderId="6" xfId="0" applyNumberFormat="1" applyFont="1" applyBorder="1" applyAlignment="1" applyProtection="1">
      <alignment horizontal="right"/>
    </xf>
    <xf numFmtId="169" fontId="39" fillId="0" borderId="6" xfId="0" applyNumberFormat="1" applyFont="1" applyBorder="1" applyAlignment="1" applyProtection="1">
      <alignment horizontal="right"/>
    </xf>
    <xf numFmtId="169" fontId="39" fillId="0" borderId="6" xfId="0" applyNumberFormat="1" applyFont="1" applyBorder="1" applyProtection="1"/>
    <xf numFmtId="0" fontId="42" fillId="0" borderId="2" xfId="0" applyFont="1" applyBorder="1" applyAlignment="1">
      <alignment horizontal="right"/>
    </xf>
    <xf numFmtId="1" fontId="42" fillId="0" borderId="6" xfId="0" applyNumberFormat="1" applyFont="1" applyBorder="1" applyAlignment="1" applyProtection="1">
      <alignment horizontal="right"/>
    </xf>
    <xf numFmtId="169" fontId="42" fillId="0" borderId="6" xfId="0" applyNumberFormat="1" applyFont="1" applyBorder="1" applyAlignment="1" applyProtection="1">
      <alignment horizontal="right"/>
    </xf>
    <xf numFmtId="169" fontId="42" fillId="0" borderId="6" xfId="0" applyNumberFormat="1" applyFont="1" applyBorder="1" applyProtection="1"/>
    <xf numFmtId="11" fontId="1" fillId="2" borderId="5" xfId="0" applyNumberFormat="1" applyFont="1" applyFill="1" applyBorder="1" applyProtection="1"/>
    <xf numFmtId="0" fontId="1" fillId="2" borderId="5" xfId="0" applyFont="1" applyFill="1" applyBorder="1" applyAlignment="1" applyProtection="1">
      <alignment horizontal="center"/>
    </xf>
    <xf numFmtId="11" fontId="1" fillId="2" borderId="2" xfId="0" applyNumberFormat="1" applyFont="1" applyFill="1" applyBorder="1" applyAlignment="1" applyProtection="1">
      <alignment horizontal="right"/>
    </xf>
    <xf numFmtId="164" fontId="1" fillId="2" borderId="2" xfId="0" applyNumberFormat="1" applyFont="1" applyFill="1" applyBorder="1" applyProtection="1"/>
    <xf numFmtId="0" fontId="1" fillId="2" borderId="6" xfId="0" applyFont="1" applyFill="1" applyBorder="1"/>
    <xf numFmtId="165" fontId="1" fillId="2" borderId="2" xfId="0" applyNumberFormat="1" applyFont="1" applyFill="1" applyBorder="1" applyProtection="1"/>
    <xf numFmtId="2" fontId="1" fillId="2" borderId="6" xfId="0" applyNumberFormat="1" applyFont="1" applyFill="1" applyBorder="1" applyProtection="1"/>
    <xf numFmtId="11" fontId="1" fillId="2" borderId="5" xfId="0" applyNumberFormat="1" applyFont="1" applyFill="1" applyBorder="1" applyAlignment="1" applyProtection="1">
      <alignment horizontal="fill"/>
    </xf>
    <xf numFmtId="0" fontId="1" fillId="2" borderId="2" xfId="0" applyFont="1" applyFill="1" applyBorder="1" applyAlignment="1" applyProtection="1">
      <alignment horizontal="fill"/>
    </xf>
    <xf numFmtId="0" fontId="1" fillId="2" borderId="6" xfId="0" applyFont="1" applyFill="1" applyBorder="1" applyAlignment="1" applyProtection="1">
      <alignment horizontal="fill"/>
    </xf>
    <xf numFmtId="0" fontId="1" fillId="2" borderId="2" xfId="0" applyFont="1" applyFill="1" applyBorder="1"/>
    <xf numFmtId="11" fontId="1" fillId="2" borderId="9" xfId="0" applyNumberFormat="1" applyFont="1" applyFill="1" applyBorder="1" applyProtection="1"/>
    <xf numFmtId="1" fontId="1" fillId="2" borderId="9" xfId="0" applyNumberFormat="1" applyFont="1" applyFill="1" applyBorder="1" applyAlignment="1" applyProtection="1">
      <alignment horizontal="center"/>
    </xf>
    <xf numFmtId="11" fontId="1" fillId="2" borderId="15" xfId="0" applyNumberFormat="1" applyFont="1" applyFill="1" applyBorder="1" applyAlignment="1">
      <alignment horizontal="right"/>
    </xf>
    <xf numFmtId="0" fontId="1" fillId="2" borderId="15" xfId="0" applyFont="1" applyFill="1" applyBorder="1"/>
    <xf numFmtId="0" fontId="1" fillId="2" borderId="10" xfId="0" applyFont="1" applyFill="1" applyBorder="1"/>
    <xf numFmtId="11" fontId="39" fillId="2" borderId="5" xfId="0" applyNumberFormat="1" applyFont="1" applyFill="1" applyBorder="1" applyProtection="1"/>
    <xf numFmtId="0" fontId="39" fillId="2" borderId="2" xfId="0" applyFont="1" applyFill="1" applyBorder="1" applyAlignment="1" applyProtection="1">
      <alignment horizontal="right"/>
    </xf>
    <xf numFmtId="0" fontId="42" fillId="2" borderId="2" xfId="0" applyFont="1" applyFill="1" applyBorder="1" applyAlignment="1" applyProtection="1">
      <alignment horizontal="right"/>
    </xf>
    <xf numFmtId="11" fontId="42" fillId="2" borderId="5" xfId="0" applyNumberFormat="1" applyFont="1" applyFill="1" applyBorder="1" applyProtection="1"/>
    <xf numFmtId="0" fontId="39" fillId="2" borderId="5" xfId="0" applyFont="1" applyFill="1" applyBorder="1" applyAlignment="1" applyProtection="1">
      <alignment horizontal="center"/>
    </xf>
    <xf numFmtId="11" fontId="39" fillId="2" borderId="2" xfId="0" applyNumberFormat="1" applyFont="1" applyFill="1" applyBorder="1" applyAlignment="1" applyProtection="1">
      <alignment horizontal="right"/>
    </xf>
    <xf numFmtId="165" fontId="39" fillId="2" borderId="2" xfId="0" applyNumberFormat="1" applyFont="1" applyFill="1" applyBorder="1" applyProtection="1"/>
    <xf numFmtId="2" fontId="39" fillId="2" borderId="6" xfId="0" applyNumberFormat="1" applyFont="1" applyFill="1" applyBorder="1" applyProtection="1"/>
    <xf numFmtId="0" fontId="42" fillId="2" borderId="5" xfId="0" applyFont="1" applyFill="1" applyBorder="1" applyAlignment="1" applyProtection="1">
      <alignment horizontal="center"/>
    </xf>
    <xf numFmtId="11" fontId="42" fillId="2" borderId="2" xfId="0" applyNumberFormat="1" applyFont="1" applyFill="1" applyBorder="1" applyAlignment="1" applyProtection="1">
      <alignment horizontal="right"/>
    </xf>
    <xf numFmtId="165" fontId="42" fillId="2" borderId="2" xfId="0" applyNumberFormat="1" applyFont="1" applyFill="1" applyBorder="1" applyProtection="1"/>
    <xf numFmtId="2" fontId="42" fillId="2" borderId="6" xfId="0" applyNumberFormat="1" applyFont="1" applyFill="1" applyBorder="1" applyProtection="1"/>
    <xf numFmtId="0" fontId="1" fillId="2" borderId="0" xfId="0" applyFont="1" applyFill="1" applyBorder="1" applyAlignment="1" applyProtection="1">
      <alignment horizontal="right"/>
    </xf>
    <xf numFmtId="0" fontId="1" fillId="2" borderId="8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0" fontId="1" fillId="2" borderId="4" xfId="0" applyFont="1" applyFill="1" applyBorder="1" applyAlignment="1" applyProtection="1">
      <alignment horizontal="right"/>
    </xf>
    <xf numFmtId="167" fontId="1" fillId="2" borderId="9" xfId="0" applyNumberFormat="1" applyFont="1" applyFill="1" applyBorder="1" applyAlignment="1" applyProtection="1">
      <alignment horizontal="right"/>
    </xf>
    <xf numFmtId="165" fontId="1" fillId="2" borderId="0" xfId="0" applyNumberFormat="1" applyFont="1" applyFill="1" applyBorder="1" applyProtection="1"/>
    <xf numFmtId="165" fontId="1" fillId="2" borderId="6" xfId="0" applyNumberFormat="1" applyFont="1" applyFill="1" applyBorder="1" applyProtection="1"/>
    <xf numFmtId="9" fontId="1" fillId="2" borderId="12" xfId="0" applyNumberFormat="1" applyFont="1" applyFill="1" applyBorder="1"/>
    <xf numFmtId="9" fontId="1" fillId="2" borderId="10" xfId="0" applyNumberFormat="1" applyFont="1" applyFill="1" applyBorder="1"/>
    <xf numFmtId="0" fontId="12" fillId="0" borderId="7" xfId="0" applyFont="1" applyBorder="1" applyAlignment="1" applyProtection="1">
      <alignment horizontal="right"/>
    </xf>
    <xf numFmtId="0" fontId="1" fillId="0" borderId="6" xfId="0" applyNumberFormat="1" applyFont="1" applyBorder="1" applyProtection="1"/>
    <xf numFmtId="0" fontId="8" fillId="2" borderId="4" xfId="0" applyFont="1" applyFill="1" applyBorder="1"/>
    <xf numFmtId="0" fontId="12" fillId="2" borderId="6" xfId="0" applyFont="1" applyFill="1" applyBorder="1"/>
    <xf numFmtId="2" fontId="2" fillId="2" borderId="23" xfId="0" applyNumberFormat="1" applyFont="1" applyFill="1" applyBorder="1" applyAlignment="1">
      <alignment horizontal="center"/>
    </xf>
    <xf numFmtId="2" fontId="13" fillId="2" borderId="23" xfId="0" applyNumberFormat="1" applyFont="1" applyFill="1" applyBorder="1" applyAlignment="1">
      <alignment horizontal="center"/>
    </xf>
    <xf numFmtId="0" fontId="8" fillId="2" borderId="15" xfId="0" applyFont="1" applyFill="1" applyBorder="1" applyAlignment="1" applyProtection="1">
      <alignment horizontal="left"/>
    </xf>
    <xf numFmtId="0" fontId="8" fillId="2" borderId="10" xfId="0" applyFont="1" applyFill="1" applyBorder="1"/>
    <xf numFmtId="0" fontId="15" fillId="0" borderId="1" xfId="0" applyFont="1" applyFill="1" applyBorder="1" applyAlignment="1">
      <alignment horizontal="right"/>
    </xf>
    <xf numFmtId="0" fontId="16" fillId="0" borderId="1" xfId="0" applyFont="1" applyFill="1" applyBorder="1" applyAlignment="1">
      <alignment horizontal="right"/>
    </xf>
    <xf numFmtId="0" fontId="13" fillId="0" borderId="1" xfId="0" applyFont="1" applyBorder="1" applyAlignment="1">
      <alignment horizontal="center" vertical="center"/>
    </xf>
    <xf numFmtId="0" fontId="15" fillId="0" borderId="17" xfId="0" applyFont="1" applyFill="1" applyBorder="1" applyAlignment="1">
      <alignment horizontal="right"/>
    </xf>
    <xf numFmtId="0" fontId="3" fillId="0" borderId="34" xfId="0" applyFont="1" applyFill="1" applyBorder="1" applyAlignment="1">
      <alignment horizontal="center"/>
    </xf>
    <xf numFmtId="0" fontId="3" fillId="0" borderId="35" xfId="0" quotePrefix="1" applyFont="1" applyFill="1" applyBorder="1" applyAlignment="1" applyProtection="1">
      <alignment horizontal="center"/>
    </xf>
    <xf numFmtId="0" fontId="9" fillId="0" borderId="11" xfId="0" applyFont="1" applyFill="1" applyBorder="1" applyAlignment="1" applyProtection="1">
      <alignment horizontal="center"/>
    </xf>
    <xf numFmtId="0" fontId="9" fillId="0" borderId="16" xfId="0" quotePrefix="1" applyFont="1" applyFill="1" applyBorder="1" applyAlignment="1" applyProtection="1">
      <alignment horizontal="center"/>
    </xf>
    <xf numFmtId="0" fontId="3" fillId="2" borderId="38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39" xfId="0" quotePrefix="1" applyFont="1" applyFill="1" applyBorder="1" applyAlignment="1" applyProtection="1">
      <alignment horizontal="center"/>
    </xf>
    <xf numFmtId="0" fontId="3" fillId="0" borderId="17" xfId="0" applyFont="1" applyFill="1" applyBorder="1" applyAlignment="1" applyProtection="1">
      <alignment horizontal="fill"/>
    </xf>
    <xf numFmtId="0" fontId="8" fillId="17" borderId="40" xfId="0" applyNumberFormat="1" applyFont="1" applyFill="1" applyBorder="1" applyAlignment="1" applyProtection="1">
      <alignment horizontal="center"/>
    </xf>
    <xf numFmtId="0" fontId="8" fillId="17" borderId="14" xfId="0" applyNumberFormat="1" applyFont="1" applyFill="1" applyBorder="1" applyAlignment="1" applyProtection="1">
      <alignment horizontal="center"/>
    </xf>
    <xf numFmtId="0" fontId="8" fillId="17" borderId="43" xfId="0" applyNumberFormat="1" applyFont="1" applyFill="1" applyBorder="1" applyAlignment="1" applyProtection="1">
      <alignment horizontal="center"/>
    </xf>
    <xf numFmtId="0" fontId="8" fillId="17" borderId="27" xfId="0" applyNumberFormat="1" applyFont="1" applyFill="1" applyBorder="1" applyAlignment="1" applyProtection="1">
      <alignment horizontal="center"/>
    </xf>
    <xf numFmtId="0" fontId="8" fillId="17" borderId="28" xfId="0" applyNumberFormat="1" applyFont="1" applyFill="1" applyBorder="1" applyAlignment="1" applyProtection="1">
      <alignment horizontal="center"/>
    </xf>
    <xf numFmtId="0" fontId="8" fillId="17" borderId="36" xfId="0" applyNumberFormat="1" applyFont="1" applyFill="1" applyBorder="1" applyAlignment="1" applyProtection="1">
      <alignment horizontal="center"/>
    </xf>
    <xf numFmtId="0" fontId="8" fillId="17" borderId="41" xfId="0" applyNumberFormat="1" applyFont="1" applyFill="1" applyBorder="1" applyAlignment="1" applyProtection="1">
      <alignment horizontal="center"/>
    </xf>
    <xf numFmtId="0" fontId="8" fillId="17" borderId="42" xfId="0" applyNumberFormat="1" applyFont="1" applyFill="1" applyBorder="1" applyAlignment="1" applyProtection="1">
      <alignment horizontal="center"/>
    </xf>
    <xf numFmtId="0" fontId="8" fillId="17" borderId="37" xfId="0" applyNumberFormat="1" applyFont="1" applyFill="1" applyBorder="1" applyAlignment="1" applyProtection="1">
      <alignment horizontal="center"/>
    </xf>
    <xf numFmtId="0" fontId="8" fillId="2" borderId="32" xfId="0" applyNumberFormat="1" applyFont="1" applyFill="1" applyBorder="1" applyAlignment="1" applyProtection="1">
      <alignment horizontal="center"/>
    </xf>
    <xf numFmtId="0" fontId="8" fillId="2" borderId="44" xfId="0" applyNumberFormat="1" applyFont="1" applyFill="1" applyBorder="1" applyAlignment="1" applyProtection="1">
      <alignment horizontal="center"/>
    </xf>
    <xf numFmtId="0" fontId="8" fillId="2" borderId="45" xfId="0" applyNumberFormat="1" applyFont="1" applyFill="1" applyBorder="1" applyAlignment="1" applyProtection="1">
      <alignment horizontal="center"/>
    </xf>
    <xf numFmtId="0" fontId="8" fillId="3" borderId="14" xfId="0" applyNumberFormat="1" applyFont="1" applyFill="1" applyBorder="1" applyAlignment="1" applyProtection="1">
      <alignment horizontal="center"/>
      <protection locked="0"/>
    </xf>
    <xf numFmtId="0" fontId="43" fillId="0" borderId="0" xfId="0" applyFont="1"/>
    <xf numFmtId="0" fontId="1" fillId="16" borderId="3" xfId="0" applyNumberFormat="1" applyFont="1" applyFill="1" applyBorder="1" applyAlignment="1">
      <alignment horizontal="center" vertical="center"/>
    </xf>
    <xf numFmtId="0" fontId="1" fillId="16" borderId="2" xfId="0" applyNumberFormat="1" applyFont="1" applyFill="1" applyBorder="1" applyAlignment="1">
      <alignment horizontal="center" vertical="center"/>
    </xf>
    <xf numFmtId="0" fontId="1" fillId="16" borderId="0" xfId="0" applyNumberFormat="1" applyFont="1" applyFill="1" applyBorder="1" applyAlignment="1">
      <alignment horizontal="center" vertical="center"/>
    </xf>
    <xf numFmtId="0" fontId="1" fillId="16" borderId="15" xfId="0" applyNumberFormat="1" applyFont="1" applyFill="1" applyBorder="1" applyAlignment="1">
      <alignment horizontal="center" vertical="center"/>
    </xf>
    <xf numFmtId="0" fontId="1" fillId="16" borderId="12" xfId="0" applyNumberFormat="1" applyFont="1" applyFill="1" applyBorder="1" applyAlignment="1">
      <alignment horizontal="center" vertical="center"/>
    </xf>
    <xf numFmtId="0" fontId="24" fillId="0" borderId="0" xfId="0" applyFont="1"/>
    <xf numFmtId="0" fontId="3" fillId="0" borderId="11" xfId="0" applyFont="1" applyFill="1" applyBorder="1" applyAlignment="1" applyProtection="1">
      <alignment horizontal="center"/>
    </xf>
    <xf numFmtId="0" fontId="3" fillId="0" borderId="16" xfId="0" applyFont="1" applyFill="1" applyBorder="1" applyAlignment="1" applyProtection="1">
      <alignment horizontal="center"/>
    </xf>
    <xf numFmtId="0" fontId="3" fillId="2" borderId="1" xfId="0" applyFont="1" applyFill="1" applyBorder="1" applyAlignment="1" applyProtection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6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0" xfId="0" applyFont="1" applyFill="1" applyBorder="1" applyAlignment="1">
      <alignment horizontal="center"/>
    </xf>
    <xf numFmtId="0" fontId="1" fillId="19" borderId="6" xfId="0" applyFont="1" applyFill="1" applyBorder="1" applyAlignment="1">
      <alignment horizontal="center"/>
    </xf>
    <xf numFmtId="0" fontId="1" fillId="20" borderId="0" xfId="0" applyFont="1" applyFill="1" applyBorder="1" applyAlignment="1">
      <alignment horizontal="center"/>
    </xf>
    <xf numFmtId="0" fontId="1" fillId="20" borderId="6" xfId="0" applyFont="1" applyFill="1" applyBorder="1" applyAlignment="1">
      <alignment horizontal="center"/>
    </xf>
    <xf numFmtId="0" fontId="1" fillId="20" borderId="12" xfId="0" applyFont="1" applyFill="1" applyBorder="1" applyAlignment="1">
      <alignment horizontal="center"/>
    </xf>
    <xf numFmtId="0" fontId="1" fillId="20" borderId="10" xfId="0" applyFont="1" applyFill="1" applyBorder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1" fillId="0" borderId="24" xfId="0" applyFont="1" applyBorder="1"/>
    <xf numFmtId="0" fontId="1" fillId="0" borderId="46" xfId="0" applyFont="1" applyFill="1" applyBorder="1" applyAlignment="1" applyProtection="1">
      <alignment vertical="center"/>
    </xf>
    <xf numFmtId="0" fontId="1" fillId="0" borderId="29" xfId="0" applyFont="1" applyBorder="1"/>
    <xf numFmtId="0" fontId="1" fillId="0" borderId="18" xfId="0" applyFont="1" applyBorder="1"/>
    <xf numFmtId="0" fontId="1" fillId="0" borderId="2" xfId="0" applyFont="1" applyBorder="1"/>
    <xf numFmtId="0" fontId="1" fillId="0" borderId="19" xfId="0" applyFont="1" applyBorder="1"/>
    <xf numFmtId="0" fontId="1" fillId="0" borderId="20" xfId="0" applyFont="1" applyBorder="1"/>
    <xf numFmtId="0" fontId="1" fillId="0" borderId="47" xfId="0" applyFont="1" applyBorder="1"/>
    <xf numFmtId="0" fontId="1" fillId="0" borderId="21" xfId="0" applyFont="1" applyBorder="1"/>
    <xf numFmtId="0" fontId="1" fillId="0" borderId="30" xfId="0" applyFont="1" applyBorder="1"/>
    <xf numFmtId="0" fontId="1" fillId="0" borderId="31" xfId="0" applyFont="1" applyBorder="1"/>
    <xf numFmtId="0" fontId="24" fillId="0" borderId="32" xfId="0" applyFont="1" applyBorder="1"/>
    <xf numFmtId="174" fontId="14" fillId="4" borderId="0" xfId="0" applyNumberFormat="1" applyFont="1" applyFill="1" applyBorder="1" applyAlignment="1" applyProtection="1">
      <alignment horizontal="center"/>
    </xf>
    <xf numFmtId="0" fontId="15" fillId="4" borderId="13" xfId="0" applyFont="1" applyFill="1" applyBorder="1" applyAlignment="1" applyProtection="1"/>
    <xf numFmtId="0" fontId="44" fillId="6" borderId="14" xfId="0" applyFont="1" applyFill="1" applyBorder="1" applyAlignment="1">
      <alignment horizontal="center" vertical="center"/>
    </xf>
    <xf numFmtId="0" fontId="45" fillId="6" borderId="14" xfId="0" applyFont="1" applyFill="1" applyBorder="1" applyAlignment="1">
      <alignment horizontal="center" vertical="center"/>
    </xf>
    <xf numFmtId="0" fontId="46" fillId="6" borderId="14" xfId="0" applyFont="1" applyFill="1" applyBorder="1" applyAlignment="1">
      <alignment horizontal="center" vertical="center"/>
    </xf>
    <xf numFmtId="0" fontId="47" fillId="6" borderId="14" xfId="0" applyFont="1" applyFill="1" applyBorder="1" applyAlignment="1">
      <alignment horizontal="center" vertical="center"/>
    </xf>
    <xf numFmtId="0" fontId="48" fillId="6" borderId="14" xfId="0" applyFont="1" applyFill="1" applyBorder="1" applyAlignment="1">
      <alignment horizontal="center" vertical="center"/>
    </xf>
    <xf numFmtId="0" fontId="49" fillId="6" borderId="14" xfId="0" applyFont="1" applyFill="1" applyBorder="1" applyAlignment="1">
      <alignment horizontal="center" vertical="center"/>
    </xf>
    <xf numFmtId="0" fontId="50" fillId="6" borderId="14" xfId="0" applyFont="1" applyFill="1" applyBorder="1" applyAlignment="1">
      <alignment horizontal="center" vertical="center"/>
    </xf>
    <xf numFmtId="0" fontId="51" fillId="6" borderId="14" xfId="0" applyFont="1" applyFill="1" applyBorder="1" applyAlignment="1">
      <alignment horizontal="center" vertical="center"/>
    </xf>
    <xf numFmtId="0" fontId="52" fillId="6" borderId="14" xfId="0" applyFont="1" applyFill="1" applyBorder="1" applyAlignment="1">
      <alignment horizontal="center" vertical="center"/>
    </xf>
    <xf numFmtId="0" fontId="53" fillId="6" borderId="14" xfId="0" applyFont="1" applyFill="1" applyBorder="1" applyAlignment="1">
      <alignment horizontal="center" vertical="center"/>
    </xf>
    <xf numFmtId="0" fontId="54" fillId="6" borderId="14" xfId="0" applyFont="1" applyFill="1" applyBorder="1" applyAlignment="1">
      <alignment horizontal="center" vertical="center"/>
    </xf>
    <xf numFmtId="0" fontId="55" fillId="6" borderId="14" xfId="0" applyFont="1" applyFill="1" applyBorder="1" applyAlignment="1">
      <alignment horizontal="center" vertical="center"/>
    </xf>
    <xf numFmtId="0" fontId="56" fillId="6" borderId="14" xfId="0" applyFont="1" applyFill="1" applyBorder="1" applyAlignment="1">
      <alignment horizontal="center" vertical="center"/>
    </xf>
    <xf numFmtId="0" fontId="57" fillId="6" borderId="14" xfId="0" applyFont="1" applyFill="1" applyBorder="1" applyAlignment="1">
      <alignment horizontal="center" vertical="center"/>
    </xf>
    <xf numFmtId="0" fontId="58" fillId="6" borderId="14" xfId="0" applyFont="1" applyFill="1" applyBorder="1" applyAlignment="1">
      <alignment horizontal="center" vertical="center"/>
    </xf>
    <xf numFmtId="0" fontId="59" fillId="6" borderId="14" xfId="0" applyFont="1" applyFill="1" applyBorder="1" applyAlignment="1">
      <alignment horizontal="center" vertical="center"/>
    </xf>
    <xf numFmtId="0" fontId="60" fillId="6" borderId="14" xfId="0" applyFont="1" applyFill="1" applyBorder="1" applyAlignment="1">
      <alignment horizontal="center" vertical="center"/>
    </xf>
    <xf numFmtId="0" fontId="61" fillId="6" borderId="14" xfId="0" applyFont="1" applyFill="1" applyBorder="1" applyAlignment="1">
      <alignment horizontal="center" vertical="center"/>
    </xf>
    <xf numFmtId="0" fontId="62" fillId="6" borderId="14" xfId="0" applyFont="1" applyFill="1" applyBorder="1" applyAlignment="1">
      <alignment horizontal="center" vertical="center"/>
    </xf>
    <xf numFmtId="0" fontId="63" fillId="6" borderId="14" xfId="0" applyFont="1" applyFill="1" applyBorder="1" applyAlignment="1">
      <alignment horizontal="center" vertical="center"/>
    </xf>
    <xf numFmtId="0" fontId="64" fillId="6" borderId="14" xfId="0" applyFont="1" applyFill="1" applyBorder="1" applyAlignment="1">
      <alignment horizontal="center" vertical="center"/>
    </xf>
    <xf numFmtId="0" fontId="65" fillId="6" borderId="14" xfId="0" applyFont="1" applyFill="1" applyBorder="1" applyAlignment="1">
      <alignment horizontal="center" vertical="center"/>
    </xf>
    <xf numFmtId="0" fontId="66" fillId="6" borderId="14" xfId="0" applyFont="1" applyFill="1" applyBorder="1" applyAlignment="1">
      <alignment horizontal="center" vertical="center"/>
    </xf>
    <xf numFmtId="0" fontId="67" fillId="6" borderId="14" xfId="0" applyFont="1" applyFill="1" applyBorder="1" applyAlignment="1">
      <alignment horizontal="center" vertical="center"/>
    </xf>
    <xf numFmtId="0" fontId="68" fillId="6" borderId="14" xfId="0" applyFont="1" applyFill="1" applyBorder="1" applyAlignment="1">
      <alignment horizontal="center" vertical="center"/>
    </xf>
    <xf numFmtId="0" fontId="69" fillId="6" borderId="14" xfId="0" applyFont="1" applyFill="1" applyBorder="1" applyAlignment="1">
      <alignment horizontal="center" vertical="center"/>
    </xf>
    <xf numFmtId="0" fontId="70" fillId="6" borderId="14" xfId="0" applyFont="1" applyFill="1" applyBorder="1" applyAlignment="1">
      <alignment horizontal="center" vertical="center"/>
    </xf>
    <xf numFmtId="0" fontId="71" fillId="6" borderId="14" xfId="0" applyFont="1" applyFill="1" applyBorder="1" applyAlignment="1">
      <alignment horizontal="center" vertical="center"/>
    </xf>
    <xf numFmtId="0" fontId="72" fillId="6" borderId="14" xfId="0" applyFont="1" applyFill="1" applyBorder="1" applyAlignment="1">
      <alignment horizontal="center" vertical="center"/>
    </xf>
    <xf numFmtId="0" fontId="73" fillId="6" borderId="14" xfId="0" applyFont="1" applyFill="1" applyBorder="1" applyAlignment="1">
      <alignment horizontal="center" vertical="center"/>
    </xf>
    <xf numFmtId="0" fontId="74" fillId="6" borderId="14" xfId="0" applyFont="1" applyFill="1" applyBorder="1" applyAlignment="1">
      <alignment horizontal="center" vertical="center"/>
    </xf>
    <xf numFmtId="0" fontId="75" fillId="6" borderId="14" xfId="0" applyFont="1" applyFill="1" applyBorder="1" applyAlignment="1">
      <alignment horizontal="center" vertical="center"/>
    </xf>
    <xf numFmtId="0" fontId="76" fillId="6" borderId="14" xfId="0" applyFont="1" applyFill="1" applyBorder="1" applyAlignment="1">
      <alignment horizontal="center" vertical="center"/>
    </xf>
    <xf numFmtId="0" fontId="77" fillId="6" borderId="14" xfId="0" applyFont="1" applyFill="1" applyBorder="1" applyAlignment="1">
      <alignment horizontal="center" vertical="center"/>
    </xf>
    <xf numFmtId="0" fontId="78" fillId="6" borderId="14" xfId="0" applyFont="1" applyFill="1" applyBorder="1" applyAlignment="1">
      <alignment horizontal="center" vertical="center"/>
    </xf>
    <xf numFmtId="0" fontId="79" fillId="6" borderId="14" xfId="0" applyFont="1" applyFill="1" applyBorder="1" applyAlignment="1">
      <alignment horizontal="center" vertical="center"/>
    </xf>
    <xf numFmtId="0" fontId="80" fillId="6" borderId="14" xfId="0" applyFont="1" applyFill="1" applyBorder="1" applyAlignment="1">
      <alignment horizontal="center" vertical="center"/>
    </xf>
    <xf numFmtId="0" fontId="81" fillId="6" borderId="14" xfId="0" applyFont="1" applyFill="1" applyBorder="1" applyAlignment="1">
      <alignment horizontal="center" vertical="center"/>
    </xf>
    <xf numFmtId="0" fontId="82" fillId="6" borderId="14" xfId="0" applyFont="1" applyFill="1" applyBorder="1" applyAlignment="1">
      <alignment horizontal="center" vertical="center"/>
    </xf>
    <xf numFmtId="0" fontId="83" fillId="6" borderId="14" xfId="0" applyFont="1" applyFill="1" applyBorder="1" applyAlignment="1">
      <alignment horizontal="center" vertical="center"/>
    </xf>
    <xf numFmtId="0" fontId="84" fillId="6" borderId="14" xfId="0" applyFont="1" applyFill="1" applyBorder="1" applyAlignment="1">
      <alignment horizontal="center" vertical="center"/>
    </xf>
    <xf numFmtId="0" fontId="85" fillId="6" borderId="14" xfId="0" applyFont="1" applyFill="1" applyBorder="1" applyAlignment="1">
      <alignment horizontal="center" vertical="center"/>
    </xf>
    <xf numFmtId="0" fontId="86" fillId="6" borderId="14" xfId="0" applyFont="1" applyFill="1" applyBorder="1" applyAlignment="1">
      <alignment horizontal="center" vertical="center"/>
    </xf>
    <xf numFmtId="0" fontId="87" fillId="6" borderId="14" xfId="0" applyFont="1" applyFill="1" applyBorder="1" applyAlignment="1">
      <alignment horizontal="center" vertical="center"/>
    </xf>
    <xf numFmtId="0" fontId="88" fillId="6" borderId="14" xfId="0" applyFont="1" applyFill="1" applyBorder="1" applyAlignment="1">
      <alignment horizontal="center" vertical="center"/>
    </xf>
    <xf numFmtId="0" fontId="89" fillId="6" borderId="14" xfId="0" applyFont="1" applyFill="1" applyBorder="1" applyAlignment="1">
      <alignment horizontal="center" vertical="center"/>
    </xf>
    <xf numFmtId="0" fontId="90" fillId="6" borderId="14" xfId="0" applyFont="1" applyFill="1" applyBorder="1" applyAlignment="1">
      <alignment horizontal="center" vertical="center"/>
    </xf>
    <xf numFmtId="0" fontId="91" fillId="6" borderId="14" xfId="0" applyFont="1" applyFill="1" applyBorder="1" applyAlignment="1">
      <alignment horizontal="center" vertical="center"/>
    </xf>
    <xf numFmtId="0" fontId="92" fillId="6" borderId="14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1" fillId="10" borderId="4" xfId="0" applyFont="1" applyFill="1" applyBorder="1" applyAlignment="1">
      <alignment horizontal="center"/>
    </xf>
    <xf numFmtId="0" fontId="1" fillId="10" borderId="0" xfId="0" applyFont="1" applyFill="1" applyBorder="1" applyAlignment="1">
      <alignment horizontal="center"/>
    </xf>
    <xf numFmtId="0" fontId="1" fillId="10" borderId="6" xfId="0" applyFont="1" applyFill="1" applyBorder="1" applyAlignment="1">
      <alignment horizontal="center"/>
    </xf>
    <xf numFmtId="0" fontId="1" fillId="10" borderId="15" xfId="0" applyFont="1" applyFill="1" applyBorder="1" applyAlignment="1">
      <alignment horizontal="center"/>
    </xf>
    <xf numFmtId="0" fontId="1" fillId="10" borderId="12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0" fillId="9" borderId="1" xfId="0" applyFill="1" applyBorder="1"/>
    <xf numFmtId="0" fontId="0" fillId="9" borderId="3" xfId="0" applyFill="1" applyBorder="1"/>
    <xf numFmtId="0" fontId="0" fillId="9" borderId="4" xfId="0" applyFill="1" applyBorder="1"/>
    <xf numFmtId="0" fontId="0" fillId="9" borderId="2" xfId="0" applyFill="1" applyBorder="1"/>
    <xf numFmtId="0" fontId="0" fillId="9" borderId="0" xfId="0" applyFill="1" applyBorder="1"/>
    <xf numFmtId="0" fontId="0" fillId="9" borderId="6" xfId="0" applyFill="1" applyBorder="1"/>
    <xf numFmtId="0" fontId="0" fillId="9" borderId="15" xfId="0" applyFill="1" applyBorder="1"/>
    <xf numFmtId="0" fontId="0" fillId="9" borderId="12" xfId="0" applyFill="1" applyBorder="1"/>
    <xf numFmtId="0" fontId="0" fillId="9" borderId="10" xfId="0" applyFill="1" applyBorder="1"/>
    <xf numFmtId="0" fontId="1" fillId="10" borderId="2" xfId="0" applyFont="1" applyFill="1" applyBorder="1" applyAlignment="1">
      <alignment horizontal="center"/>
    </xf>
    <xf numFmtId="0" fontId="1" fillId="16" borderId="4" xfId="0" applyNumberFormat="1" applyFont="1" applyFill="1" applyBorder="1" applyAlignment="1">
      <alignment horizontal="center" vertical="center"/>
    </xf>
    <xf numFmtId="0" fontId="1" fillId="16" borderId="6" xfId="0" applyNumberFormat="1" applyFont="1" applyFill="1" applyBorder="1" applyAlignment="1">
      <alignment horizontal="center" vertical="center"/>
    </xf>
    <xf numFmtId="0" fontId="1" fillId="16" borderId="10" xfId="0" applyNumberFormat="1" applyFont="1" applyFill="1" applyBorder="1" applyAlignment="1">
      <alignment horizontal="center" vertical="center"/>
    </xf>
    <xf numFmtId="0" fontId="1" fillId="16" borderId="1" xfId="0" applyNumberFormat="1" applyFont="1" applyFill="1" applyBorder="1" applyAlignment="1">
      <alignment horizontal="center" vertical="center"/>
    </xf>
    <xf numFmtId="0" fontId="8" fillId="2" borderId="14" xfId="0" applyNumberFormat="1" applyFont="1" applyFill="1" applyBorder="1" applyAlignment="1" applyProtection="1">
      <alignment horizontal="center"/>
    </xf>
    <xf numFmtId="0" fontId="24" fillId="0" borderId="0" xfId="0" applyFont="1" applyAlignment="1">
      <alignment horizontal="right"/>
    </xf>
    <xf numFmtId="0" fontId="1" fillId="7" borderId="18" xfId="0" applyFont="1" applyFill="1" applyBorder="1" applyAlignment="1">
      <alignment vertical="center"/>
    </xf>
    <xf numFmtId="0" fontId="1" fillId="7" borderId="0" xfId="0" applyFont="1" applyFill="1" applyBorder="1" applyAlignment="1">
      <alignment vertical="center"/>
    </xf>
    <xf numFmtId="0" fontId="1" fillId="7" borderId="20" xfId="0" applyFont="1" applyFill="1" applyBorder="1" applyAlignment="1">
      <alignment vertical="center"/>
    </xf>
    <xf numFmtId="0" fontId="1" fillId="7" borderId="13" xfId="0" applyFont="1" applyFill="1" applyBorder="1" applyAlignment="1">
      <alignment vertical="center"/>
    </xf>
    <xf numFmtId="0" fontId="1" fillId="8" borderId="24" xfId="0" applyFont="1" applyFill="1" applyBorder="1" applyAlignment="1">
      <alignment vertical="center"/>
    </xf>
    <xf numFmtId="0" fontId="1" fillId="8" borderId="25" xfId="0" applyFont="1" applyFill="1" applyBorder="1" applyAlignment="1">
      <alignment vertical="center"/>
    </xf>
    <xf numFmtId="0" fontId="1" fillId="8" borderId="26" xfId="0" applyFont="1" applyFill="1" applyBorder="1" applyAlignment="1">
      <alignment vertical="center"/>
    </xf>
    <xf numFmtId="170" fontId="1" fillId="10" borderId="25" xfId="0" applyNumberFormat="1" applyFont="1" applyFill="1" applyBorder="1" applyAlignment="1">
      <alignment horizontal="left"/>
    </xf>
    <xf numFmtId="170" fontId="1" fillId="10" borderId="29" xfId="0" applyNumberFormat="1" applyFont="1" applyFill="1" applyBorder="1" applyAlignment="1">
      <alignment horizontal="left"/>
    </xf>
    <xf numFmtId="0" fontId="1" fillId="10" borderId="1" xfId="0" applyFont="1" applyFill="1" applyBorder="1" applyAlignment="1">
      <alignment horizontal="right"/>
    </xf>
    <xf numFmtId="0" fontId="1" fillId="10" borderId="3" xfId="0" applyFont="1" applyFill="1" applyBorder="1" applyAlignment="1">
      <alignment horizontal="right"/>
    </xf>
    <xf numFmtId="0" fontId="1" fillId="10" borderId="4" xfId="0" applyFont="1" applyFill="1" applyBorder="1" applyAlignment="1">
      <alignment horizontal="right"/>
    </xf>
    <xf numFmtId="0" fontId="1" fillId="10" borderId="1" xfId="0" applyFont="1" applyFill="1" applyBorder="1"/>
    <xf numFmtId="0" fontId="1" fillId="10" borderId="3" xfId="0" applyFont="1" applyFill="1" applyBorder="1"/>
    <xf numFmtId="0" fontId="1" fillId="10" borderId="4" xfId="0" applyFont="1" applyFill="1" applyBorder="1"/>
    <xf numFmtId="0" fontId="1" fillId="10" borderId="15" xfId="0" applyFont="1" applyFill="1" applyBorder="1" applyAlignment="1">
      <alignment horizontal="right"/>
    </xf>
    <xf numFmtId="0" fontId="1" fillId="10" borderId="12" xfId="0" applyFont="1" applyFill="1" applyBorder="1" applyAlignment="1">
      <alignment horizontal="right"/>
    </xf>
    <xf numFmtId="0" fontId="1" fillId="10" borderId="10" xfId="0" applyFont="1" applyFill="1" applyBorder="1" applyAlignment="1">
      <alignment horizontal="right"/>
    </xf>
    <xf numFmtId="0" fontId="1" fillId="10" borderId="15" xfId="0" applyFont="1" applyFill="1" applyBorder="1"/>
    <xf numFmtId="0" fontId="1" fillId="10" borderId="12" xfId="0" applyFont="1" applyFill="1" applyBorder="1"/>
    <xf numFmtId="0" fontId="1" fillId="10" borderId="10" xfId="0" applyFont="1" applyFill="1" applyBorder="1"/>
    <xf numFmtId="49" fontId="2" fillId="0" borderId="0" xfId="0" applyNumberFormat="1" applyFont="1" applyFill="1" applyBorder="1" applyAlignment="1" applyProtection="1">
      <alignment horizontal="left"/>
    </xf>
    <xf numFmtId="49" fontId="2" fillId="0" borderId="0" xfId="0" applyNumberFormat="1" applyFont="1" applyBorder="1" applyAlignment="1">
      <alignment horizontal="left"/>
    </xf>
    <xf numFmtId="49" fontId="2" fillId="0" borderId="6" xfId="0" applyNumberFormat="1" applyFont="1" applyBorder="1" applyAlignment="1"/>
    <xf numFmtId="171" fontId="1" fillId="0" borderId="3" xfId="0" quotePrefix="1" applyNumberFormat="1" applyFont="1" applyBorder="1" applyAlignment="1">
      <alignment horizontal="center"/>
    </xf>
  </cellXfs>
  <cellStyles count="4">
    <cellStyle name="Hyperlink" xfId="1" builtinId="8"/>
    <cellStyle name="Hyperlink 2" xfId="3"/>
    <cellStyle name="Normal" xfId="0" builtinId="0" customBuiltin="1"/>
    <cellStyle name="Normal 2" xfId="2"/>
  </cellStyles>
  <dxfs count="117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75F184"/>
      <color rgb="FFED79DC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8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9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0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1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2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3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4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5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Optimize!$C$14</c:f>
              <c:strCache>
                <c:ptCount val="1"/>
                <c:pt idx="0">
                  <c:v>Logit response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2.8839304622374527E-2"/>
                  <c:y val="-1.418704240917253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nl-NL"/>
                </a:p>
              </c:txPr>
            </c:trendlineLbl>
          </c:trendline>
          <c:xVal>
            <c:numRef>
              <c:f>Optimize!$B$15:$B$21</c:f>
              <c:numCache>
                <c:formatCode>General</c:formatCode>
                <c:ptCount val="7"/>
              </c:numCache>
            </c:numRef>
          </c:xVal>
          <c:yVal>
            <c:numRef>
              <c:f>Optimize!$C$15:$C$21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714472"/>
        <c:axId val="547658808"/>
      </c:scatterChart>
      <c:valAx>
        <c:axId val="25771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547658808"/>
        <c:crosses val="autoZero"/>
        <c:crossBetween val="midCat"/>
      </c:valAx>
      <c:valAx>
        <c:axId val="547658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257714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Sample1!$AO$26:$AO$32</c:f>
              <c:numCache>
                <c:formatCode>General</c:formatCode>
                <c:ptCount val="7"/>
              </c:numCache>
            </c:numRef>
          </c:xVal>
          <c:yVal>
            <c:numRef>
              <c:f>Sample1!$AV$26:$AV$32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</c:numCache>
            </c:numRef>
          </c:xVal>
          <c:yVal>
            <c:numRef>
              <c:f>Sample1!$AS$26:$AS$32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</c:numCache>
            </c:numRef>
          </c:xVal>
          <c:yVal>
            <c:numRef>
              <c:f>Sample1!$AT$26:$AT$32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</c:numCache>
            </c:numRef>
          </c:xVal>
          <c:yVal>
            <c:numRef>
              <c:f>Sample1!$AU$26:$AU$32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</c:numCache>
            </c:numRef>
          </c:xVal>
          <c:yVal>
            <c:numRef>
              <c:f>Sample1!$AP$26:$AP$32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782336"/>
        <c:axId val="548007712"/>
      </c:scatterChart>
      <c:valAx>
        <c:axId val="257782336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007712"/>
        <c:crosses val="autoZero"/>
        <c:crossBetween val="midCat"/>
      </c:valAx>
      <c:valAx>
        <c:axId val="548007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5778233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Sample2!$AO$26:$AO$32</c:f>
              <c:numCache>
                <c:formatCode>General</c:formatCode>
                <c:ptCount val="7"/>
              </c:numCache>
            </c:numRef>
          </c:xVal>
          <c:yVal>
            <c:numRef>
              <c:f>Sample2!$AV$26:$AV$32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</c:numCache>
            </c:numRef>
          </c:xVal>
          <c:yVal>
            <c:numRef>
              <c:f>Sample2!$AS$26:$AS$32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</c:numCache>
            </c:numRef>
          </c:xVal>
          <c:yVal>
            <c:numRef>
              <c:f>Sample2!$AT$26:$AT$32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</c:numCache>
            </c:numRef>
          </c:xVal>
          <c:yVal>
            <c:numRef>
              <c:f>Sample2!$AU$26:$AU$32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</c:numCache>
            </c:numRef>
          </c:xVal>
          <c:yVal>
            <c:numRef>
              <c:f>Sample2!$AP$26:$AP$32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018736"/>
        <c:axId val="548043696"/>
      </c:scatterChart>
      <c:valAx>
        <c:axId val="548018736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043696"/>
        <c:crosses val="autoZero"/>
        <c:crossBetween val="midCat"/>
      </c:valAx>
      <c:valAx>
        <c:axId val="5480436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01873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Sample3!$AO$26:$AO$32</c:f>
              <c:numCache>
                <c:formatCode>General</c:formatCode>
                <c:ptCount val="7"/>
              </c:numCache>
            </c:numRef>
          </c:xVal>
          <c:yVal>
            <c:numRef>
              <c:f>Sample3!$AV$26:$AV$32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</c:numCache>
            </c:numRef>
          </c:xVal>
          <c:yVal>
            <c:numRef>
              <c:f>Sample3!$AS$26:$AS$32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</c:numCache>
            </c:numRef>
          </c:xVal>
          <c:yVal>
            <c:numRef>
              <c:f>Sample3!$AT$26:$AT$32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</c:numCache>
            </c:numRef>
          </c:xVal>
          <c:yVal>
            <c:numRef>
              <c:f>Sample3!$AU$26:$AU$32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</c:numCache>
            </c:numRef>
          </c:xVal>
          <c:yVal>
            <c:numRef>
              <c:f>Sample3!$AP$26:$AP$32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189944"/>
        <c:axId val="548190336"/>
      </c:scatterChart>
      <c:valAx>
        <c:axId val="548189944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190336"/>
        <c:crosses val="autoZero"/>
        <c:crossBetween val="midCat"/>
      </c:valAx>
      <c:valAx>
        <c:axId val="5481903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189944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Sample4!$AO$26:$AO$32</c:f>
              <c:numCache>
                <c:formatCode>General</c:formatCode>
                <c:ptCount val="7"/>
              </c:numCache>
            </c:numRef>
          </c:xVal>
          <c:yVal>
            <c:numRef>
              <c:f>Sample4!$AV$26:$AV$32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</c:numCache>
            </c:numRef>
          </c:xVal>
          <c:yVal>
            <c:numRef>
              <c:f>Sample4!$AS$26:$AS$32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</c:numCache>
            </c:numRef>
          </c:xVal>
          <c:yVal>
            <c:numRef>
              <c:f>Sample4!$AT$26:$AT$32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</c:numCache>
            </c:numRef>
          </c:xVal>
          <c:yVal>
            <c:numRef>
              <c:f>Sample4!$AU$26:$AU$32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</c:numCache>
            </c:numRef>
          </c:xVal>
          <c:yVal>
            <c:numRef>
              <c:f>Sample4!$AP$26:$AP$32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191120"/>
        <c:axId val="548191512"/>
      </c:scatterChart>
      <c:valAx>
        <c:axId val="548191120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191512"/>
        <c:crosses val="autoZero"/>
        <c:crossBetween val="midCat"/>
      </c:valAx>
      <c:valAx>
        <c:axId val="5481915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191120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Sample5!$AO$26:$AO$32</c:f>
              <c:numCache>
                <c:formatCode>General</c:formatCode>
                <c:ptCount val="7"/>
              </c:numCache>
            </c:numRef>
          </c:xVal>
          <c:yVal>
            <c:numRef>
              <c:f>Sample5!$AV$26:$AV$32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</c:numCache>
            </c:numRef>
          </c:xVal>
          <c:yVal>
            <c:numRef>
              <c:f>Sample5!$AS$26:$AS$32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</c:numCache>
            </c:numRef>
          </c:xVal>
          <c:yVal>
            <c:numRef>
              <c:f>Sample5!$AT$26:$AT$32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</c:numCache>
            </c:numRef>
          </c:xVal>
          <c:yVal>
            <c:numRef>
              <c:f>Sample5!$AU$26:$AU$32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</c:numCache>
            </c:numRef>
          </c:xVal>
          <c:yVal>
            <c:numRef>
              <c:f>Sample5!$AP$26:$AP$32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400824"/>
        <c:axId val="548191904"/>
      </c:scatterChart>
      <c:valAx>
        <c:axId val="256400824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191904"/>
        <c:crosses val="autoZero"/>
        <c:crossBetween val="midCat"/>
      </c:valAx>
      <c:valAx>
        <c:axId val="548191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56400824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Sample6!$AO$26:$AO$32</c:f>
              <c:numCache>
                <c:formatCode>General</c:formatCode>
                <c:ptCount val="7"/>
              </c:numCache>
            </c:numRef>
          </c:xVal>
          <c:yVal>
            <c:numRef>
              <c:f>Sample6!$AV$26:$AV$32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</c:numCache>
            </c:numRef>
          </c:xVal>
          <c:yVal>
            <c:numRef>
              <c:f>Sample6!$AS$26:$AS$32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</c:numCache>
            </c:numRef>
          </c:xVal>
          <c:yVal>
            <c:numRef>
              <c:f>Sample6!$AT$26:$AT$32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</c:numCache>
            </c:numRef>
          </c:xVal>
          <c:yVal>
            <c:numRef>
              <c:f>Sample6!$AU$26:$AU$32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</c:numCache>
            </c:numRef>
          </c:xVal>
          <c:yVal>
            <c:numRef>
              <c:f>Sample6!$AP$26:$AP$32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192688"/>
        <c:axId val="548193080"/>
      </c:scatterChart>
      <c:valAx>
        <c:axId val="548192688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193080"/>
        <c:crosses val="autoZero"/>
        <c:crossBetween val="midCat"/>
      </c:valAx>
      <c:valAx>
        <c:axId val="5481930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192688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Sample7!$AO$26:$AO$32</c:f>
              <c:numCache>
                <c:formatCode>General</c:formatCode>
                <c:ptCount val="7"/>
              </c:numCache>
            </c:numRef>
          </c:xVal>
          <c:yVal>
            <c:numRef>
              <c:f>Sample7!$AV$26:$AV$32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</c:numCache>
            </c:numRef>
          </c:xVal>
          <c:yVal>
            <c:numRef>
              <c:f>Sample7!$AS$26:$AS$32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</c:numCache>
            </c:numRef>
          </c:xVal>
          <c:yVal>
            <c:numRef>
              <c:f>Sample7!$AT$26:$AT$32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</c:numCache>
            </c:numRef>
          </c:xVal>
          <c:yVal>
            <c:numRef>
              <c:f>Sample7!$AU$26:$AU$32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</c:numCache>
            </c:numRef>
          </c:xVal>
          <c:yVal>
            <c:numRef>
              <c:f>Sample7!$AP$26:$AP$32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591840"/>
        <c:axId val="548592232"/>
      </c:scatterChart>
      <c:valAx>
        <c:axId val="548591840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592232"/>
        <c:crosses val="autoZero"/>
        <c:crossBetween val="midCat"/>
      </c:valAx>
      <c:valAx>
        <c:axId val="5485922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591840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189552"/>
        <c:axId val="548593016"/>
      </c:scatterChart>
      <c:valAx>
        <c:axId val="548189552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593016"/>
        <c:crosses val="autoZero"/>
        <c:crossBetween val="midCat"/>
      </c:valAx>
      <c:valAx>
        <c:axId val="548593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189552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593800"/>
        <c:axId val="548594192"/>
      </c:scatterChart>
      <c:valAx>
        <c:axId val="548593800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594192"/>
        <c:crosses val="autoZero"/>
        <c:crossBetween val="midCat"/>
      </c:valAx>
      <c:valAx>
        <c:axId val="548594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593800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594976"/>
        <c:axId val="256403960"/>
      </c:scatterChart>
      <c:valAx>
        <c:axId val="548594976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56403960"/>
        <c:crosses val="autoZero"/>
        <c:crossBetween val="midCat"/>
      </c:valAx>
      <c:valAx>
        <c:axId val="2564039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59497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403176"/>
        <c:axId val="256402784"/>
      </c:scatterChart>
      <c:valAx>
        <c:axId val="256403176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56402784"/>
        <c:crosses val="autoZero"/>
        <c:crossBetween val="midCat"/>
      </c:valAx>
      <c:valAx>
        <c:axId val="2564027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5640317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622160"/>
        <c:axId val="549622552"/>
      </c:scatterChart>
      <c:valAx>
        <c:axId val="549622160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9622552"/>
        <c:crosses val="autoZero"/>
        <c:crossBetween val="midCat"/>
      </c:valAx>
      <c:valAx>
        <c:axId val="549622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9622160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623336"/>
        <c:axId val="549623728"/>
      </c:scatterChart>
      <c:valAx>
        <c:axId val="549623336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9623728"/>
        <c:crosses val="autoZero"/>
        <c:crossBetween val="midCat"/>
      </c:valAx>
      <c:valAx>
        <c:axId val="549623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962333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Sample1!$AO$26:$AO$32</c:f>
              <c:numCache>
                <c:formatCode>General</c:formatCode>
                <c:ptCount val="7"/>
              </c:numCache>
            </c:numRef>
          </c:xVal>
          <c:yVal>
            <c:numRef>
              <c:f>Sample1!$AV$26:$AV$32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</c:numCache>
            </c:numRef>
          </c:xVal>
          <c:yVal>
            <c:numRef>
              <c:f>Sample1!$AS$26:$AS$32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</c:numCache>
            </c:numRef>
          </c:xVal>
          <c:yVal>
            <c:numRef>
              <c:f>Sample1!$AT$26:$AT$32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</c:numCache>
            </c:numRef>
          </c:xVal>
          <c:yVal>
            <c:numRef>
              <c:f>Sample1!$AU$26:$AU$32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</c:numCache>
            </c:numRef>
          </c:xVal>
          <c:yVal>
            <c:numRef>
              <c:f>Sample1!$AP$26:$AP$32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624512"/>
        <c:axId val="549624904"/>
      </c:scatterChart>
      <c:valAx>
        <c:axId val="549624512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nl-NL"/>
          </a:p>
        </c:txPr>
        <c:crossAx val="549624904"/>
        <c:crosses val="autoZero"/>
        <c:crossBetween val="midCat"/>
      </c:valAx>
      <c:valAx>
        <c:axId val="549624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9624512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Sample2!$AO$26:$AO$32</c:f>
              <c:numCache>
                <c:formatCode>General</c:formatCode>
                <c:ptCount val="7"/>
              </c:numCache>
            </c:numRef>
          </c:xVal>
          <c:yVal>
            <c:numRef>
              <c:f>Sample2!$AV$26:$AV$32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</c:numCache>
            </c:numRef>
          </c:xVal>
          <c:yVal>
            <c:numRef>
              <c:f>Sample2!$AS$26:$AS$32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</c:numCache>
            </c:numRef>
          </c:xVal>
          <c:yVal>
            <c:numRef>
              <c:f>Sample2!$AT$26:$AT$32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</c:numCache>
            </c:numRef>
          </c:xVal>
          <c:yVal>
            <c:numRef>
              <c:f>Sample2!$AU$26:$AU$32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</c:numCache>
            </c:numRef>
          </c:xVal>
          <c:yVal>
            <c:numRef>
              <c:f>Sample2!$AP$26:$AP$32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157944"/>
        <c:axId val="550158336"/>
      </c:scatterChart>
      <c:valAx>
        <c:axId val="550157944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158336"/>
        <c:crosses val="autoZero"/>
        <c:crossBetween val="midCat"/>
      </c:valAx>
      <c:valAx>
        <c:axId val="5501583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157944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Sample3!$AO$26:$AO$32</c:f>
              <c:numCache>
                <c:formatCode>General</c:formatCode>
                <c:ptCount val="7"/>
              </c:numCache>
            </c:numRef>
          </c:xVal>
          <c:yVal>
            <c:numRef>
              <c:f>Sample3!$AV$26:$AV$32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</c:numCache>
            </c:numRef>
          </c:xVal>
          <c:yVal>
            <c:numRef>
              <c:f>Sample3!$AS$26:$AS$32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</c:numCache>
            </c:numRef>
          </c:xVal>
          <c:yVal>
            <c:numRef>
              <c:f>Sample3!$AT$26:$AT$32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</c:numCache>
            </c:numRef>
          </c:xVal>
          <c:yVal>
            <c:numRef>
              <c:f>Sample3!$AU$26:$AU$32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</c:numCache>
            </c:numRef>
          </c:xVal>
          <c:yVal>
            <c:numRef>
              <c:f>Sample3!$AP$26:$AP$32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159120"/>
        <c:axId val="550159512"/>
      </c:scatterChart>
      <c:valAx>
        <c:axId val="550159120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159512"/>
        <c:crosses val="autoZero"/>
        <c:crossBetween val="midCat"/>
      </c:valAx>
      <c:valAx>
        <c:axId val="5501595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159120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Sample4!$AO$26:$AO$32</c:f>
              <c:numCache>
                <c:formatCode>General</c:formatCode>
                <c:ptCount val="7"/>
              </c:numCache>
            </c:numRef>
          </c:xVal>
          <c:yVal>
            <c:numRef>
              <c:f>Sample4!$AV$26:$AV$32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</c:numCache>
            </c:numRef>
          </c:xVal>
          <c:yVal>
            <c:numRef>
              <c:f>Sample4!$AS$26:$AS$32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</c:numCache>
            </c:numRef>
          </c:xVal>
          <c:yVal>
            <c:numRef>
              <c:f>Sample4!$AT$26:$AT$32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</c:numCache>
            </c:numRef>
          </c:xVal>
          <c:yVal>
            <c:numRef>
              <c:f>Sample4!$AU$26:$AU$32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</c:numCache>
            </c:numRef>
          </c:xVal>
          <c:yVal>
            <c:numRef>
              <c:f>Sample4!$AP$26:$AP$32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160296"/>
        <c:axId val="550160688"/>
      </c:scatterChart>
      <c:valAx>
        <c:axId val="550160296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160688"/>
        <c:crosses val="autoZero"/>
        <c:crossBetween val="midCat"/>
      </c:valAx>
      <c:valAx>
        <c:axId val="550160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16029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Sample5!$AO$26:$AO$32</c:f>
              <c:numCache>
                <c:formatCode>General</c:formatCode>
                <c:ptCount val="7"/>
              </c:numCache>
            </c:numRef>
          </c:xVal>
          <c:yVal>
            <c:numRef>
              <c:f>Sample5!$AV$26:$AV$32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</c:numCache>
            </c:numRef>
          </c:xVal>
          <c:yVal>
            <c:numRef>
              <c:f>Sample5!$AS$26:$AS$32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</c:numCache>
            </c:numRef>
          </c:xVal>
          <c:yVal>
            <c:numRef>
              <c:f>Sample5!$AT$26:$AT$32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</c:numCache>
            </c:numRef>
          </c:xVal>
          <c:yVal>
            <c:numRef>
              <c:f>Sample5!$AU$26:$AU$32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</c:numCache>
            </c:numRef>
          </c:xVal>
          <c:yVal>
            <c:numRef>
              <c:f>Sample5!$AP$26:$AP$32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161472"/>
        <c:axId val="550710928"/>
      </c:scatterChart>
      <c:valAx>
        <c:axId val="550161472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710928"/>
        <c:crosses val="autoZero"/>
        <c:crossBetween val="midCat"/>
      </c:valAx>
      <c:valAx>
        <c:axId val="550710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161472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Sample6!$AO$26:$AO$32</c:f>
              <c:numCache>
                <c:formatCode>General</c:formatCode>
                <c:ptCount val="7"/>
              </c:numCache>
            </c:numRef>
          </c:xVal>
          <c:yVal>
            <c:numRef>
              <c:f>Sample6!$AV$26:$AV$32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</c:numCache>
            </c:numRef>
          </c:xVal>
          <c:yVal>
            <c:numRef>
              <c:f>Sample6!$AS$26:$AS$32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</c:numCache>
            </c:numRef>
          </c:xVal>
          <c:yVal>
            <c:numRef>
              <c:f>Sample6!$AT$26:$AT$32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</c:numCache>
            </c:numRef>
          </c:xVal>
          <c:yVal>
            <c:numRef>
              <c:f>Sample6!$AU$26:$AU$32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</c:numCache>
            </c:numRef>
          </c:xVal>
          <c:yVal>
            <c:numRef>
              <c:f>Sample6!$AP$26:$AP$32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711712"/>
        <c:axId val="550712104"/>
      </c:scatterChart>
      <c:valAx>
        <c:axId val="550711712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712104"/>
        <c:crosses val="autoZero"/>
        <c:crossBetween val="midCat"/>
      </c:valAx>
      <c:valAx>
        <c:axId val="5507121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711712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Sample7!$AO$26:$AO$32</c:f>
              <c:numCache>
                <c:formatCode>General</c:formatCode>
                <c:ptCount val="7"/>
              </c:numCache>
            </c:numRef>
          </c:xVal>
          <c:yVal>
            <c:numRef>
              <c:f>Sample7!$AV$26:$AV$32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</c:numCache>
            </c:numRef>
          </c:xVal>
          <c:yVal>
            <c:numRef>
              <c:f>Sample7!$AS$26:$AS$32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</c:numCache>
            </c:numRef>
          </c:xVal>
          <c:yVal>
            <c:numRef>
              <c:f>Sample7!$AT$26:$AT$32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</c:numCache>
            </c:numRef>
          </c:xVal>
          <c:yVal>
            <c:numRef>
              <c:f>Sample7!$AU$26:$AU$32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</c:numCache>
            </c:numRef>
          </c:xVal>
          <c:yVal>
            <c:numRef>
              <c:f>Sample7!$AP$26:$AP$32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712888"/>
        <c:axId val="550713280"/>
      </c:scatterChart>
      <c:valAx>
        <c:axId val="550712888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713280"/>
        <c:crosses val="autoZero"/>
        <c:crossBetween val="midCat"/>
      </c:valAx>
      <c:valAx>
        <c:axId val="5507132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712888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714064"/>
        <c:axId val="550714456"/>
      </c:scatterChart>
      <c:valAx>
        <c:axId val="550714064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714456"/>
        <c:crosses val="autoZero"/>
        <c:crossBetween val="midCat"/>
      </c:valAx>
      <c:valAx>
        <c:axId val="550714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714064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186480"/>
        <c:axId val="551186872"/>
      </c:scatterChart>
      <c:valAx>
        <c:axId val="551186480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1186872"/>
        <c:crosses val="autoZero"/>
        <c:crossBetween val="midCat"/>
      </c:valAx>
      <c:valAx>
        <c:axId val="5511868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1186480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187656"/>
        <c:axId val="551188048"/>
      </c:scatterChart>
      <c:valAx>
        <c:axId val="551187656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1188048"/>
        <c:crosses val="autoZero"/>
        <c:crossBetween val="midCat"/>
      </c:valAx>
      <c:valAx>
        <c:axId val="5511880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118765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188832"/>
        <c:axId val="551189224"/>
      </c:scatterChart>
      <c:valAx>
        <c:axId val="551188832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1189224"/>
        <c:crosses val="autoZero"/>
        <c:crossBetween val="midCat"/>
      </c:valAx>
      <c:valAx>
        <c:axId val="5511892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1188832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025784"/>
        <c:axId val="552026176"/>
      </c:scatterChart>
      <c:valAx>
        <c:axId val="552025784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026176"/>
        <c:crosses val="autoZero"/>
        <c:crossBetween val="midCat"/>
      </c:valAx>
      <c:valAx>
        <c:axId val="552026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025784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026960"/>
        <c:axId val="552027352"/>
      </c:scatterChart>
      <c:valAx>
        <c:axId val="552026960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027352"/>
        <c:crosses val="autoZero"/>
        <c:crossBetween val="midCat"/>
      </c:valAx>
      <c:valAx>
        <c:axId val="552027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026960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Sample1!$AO$26:$AO$32</c:f>
              <c:numCache>
                <c:formatCode>General</c:formatCode>
                <c:ptCount val="7"/>
              </c:numCache>
            </c:numRef>
          </c:xVal>
          <c:yVal>
            <c:numRef>
              <c:f>Sample1!$AV$26:$AV$32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</c:numCache>
            </c:numRef>
          </c:xVal>
          <c:yVal>
            <c:numRef>
              <c:f>Sample1!$AR$26:$AR$32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</c:numCache>
            </c:numRef>
          </c:xVal>
          <c:yVal>
            <c:numRef>
              <c:f>Sample1!$AS$26:$AS$32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</c:numCache>
            </c:numRef>
          </c:xVal>
          <c:yVal>
            <c:numRef>
              <c:f>Sample1!$AT$26:$AT$32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</c:numCache>
            </c:numRef>
          </c:xVal>
          <c:yVal>
            <c:numRef>
              <c:f>Sample1!$AU$26:$AU$32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</c:numCache>
            </c:numRef>
          </c:xVal>
          <c:yVal>
            <c:numRef>
              <c:f>Sample1!$AP$26:$AP$32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028136"/>
        <c:axId val="552028528"/>
      </c:scatterChart>
      <c:valAx>
        <c:axId val="552028136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028528"/>
        <c:crosses val="autoZero"/>
        <c:crossBetween val="midCat"/>
      </c:valAx>
      <c:valAx>
        <c:axId val="552028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02813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Sample2!$AO$26:$AO$32</c:f>
              <c:numCache>
                <c:formatCode>General</c:formatCode>
                <c:ptCount val="7"/>
              </c:numCache>
            </c:numRef>
          </c:xVal>
          <c:yVal>
            <c:numRef>
              <c:f>Sample2!$AV$26:$AV$32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</c:numCache>
            </c:numRef>
          </c:xVal>
          <c:yVal>
            <c:numRef>
              <c:f>Sample2!$AR$26:$AR$32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</c:numCache>
            </c:numRef>
          </c:xVal>
          <c:yVal>
            <c:numRef>
              <c:f>Sample2!$AS$26:$AS$32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</c:numCache>
            </c:numRef>
          </c:xVal>
          <c:yVal>
            <c:numRef>
              <c:f>Sample2!$AT$26:$AT$32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</c:numCache>
            </c:numRef>
          </c:xVal>
          <c:yVal>
            <c:numRef>
              <c:f>Sample2!$AU$26:$AU$32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</c:numCache>
            </c:numRef>
          </c:xVal>
          <c:yVal>
            <c:numRef>
              <c:f>Sample2!$AP$26:$AP$32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192624"/>
        <c:axId val="257193016"/>
      </c:scatterChart>
      <c:valAx>
        <c:axId val="25719262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57193016"/>
        <c:crosses val="autoZero"/>
        <c:crossBetween val="midCat"/>
      </c:valAx>
      <c:valAx>
        <c:axId val="257193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57192624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Sample3!$AO$26:$AO$32</c:f>
              <c:numCache>
                <c:formatCode>General</c:formatCode>
                <c:ptCount val="7"/>
              </c:numCache>
            </c:numRef>
          </c:xVal>
          <c:yVal>
            <c:numRef>
              <c:f>Sample3!$AV$26:$AV$32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</c:numCache>
            </c:numRef>
          </c:xVal>
          <c:yVal>
            <c:numRef>
              <c:f>Sample3!$AR$26:$AR$32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</c:numCache>
            </c:numRef>
          </c:xVal>
          <c:yVal>
            <c:numRef>
              <c:f>Sample3!$AS$26:$AS$32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</c:numCache>
            </c:numRef>
          </c:xVal>
          <c:yVal>
            <c:numRef>
              <c:f>Sample3!$AT$26:$AT$32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</c:numCache>
            </c:numRef>
          </c:xVal>
          <c:yVal>
            <c:numRef>
              <c:f>Sample3!$AU$26:$AU$32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</c:numCache>
            </c:numRef>
          </c:xVal>
          <c:yVal>
            <c:numRef>
              <c:f>Sample3!$AP$26:$AP$32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194584"/>
        <c:axId val="257194976"/>
      </c:scatterChart>
      <c:valAx>
        <c:axId val="25719458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57194976"/>
        <c:crosses val="autoZero"/>
        <c:crossBetween val="midCat"/>
      </c:valAx>
      <c:valAx>
        <c:axId val="257194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57194584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Sample4!$AO$26:$AO$32</c:f>
              <c:numCache>
                <c:formatCode>General</c:formatCode>
                <c:ptCount val="7"/>
              </c:numCache>
            </c:numRef>
          </c:xVal>
          <c:yVal>
            <c:numRef>
              <c:f>Sample4!$AV$26:$AV$32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</c:numCache>
            </c:numRef>
          </c:xVal>
          <c:yVal>
            <c:numRef>
              <c:f>Sample4!$AR$26:$AR$32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</c:numCache>
            </c:numRef>
          </c:xVal>
          <c:yVal>
            <c:numRef>
              <c:f>Sample4!$AS$26:$AS$32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</c:numCache>
            </c:numRef>
          </c:xVal>
          <c:yVal>
            <c:numRef>
              <c:f>Sample4!$AT$26:$AT$32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</c:numCache>
            </c:numRef>
          </c:xVal>
          <c:yVal>
            <c:numRef>
              <c:f>Sample4!$AU$26:$AU$32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</c:numCache>
            </c:numRef>
          </c:xVal>
          <c:yVal>
            <c:numRef>
              <c:f>Sample4!$AP$26:$AP$32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196152"/>
        <c:axId val="552537808"/>
      </c:scatterChart>
      <c:valAx>
        <c:axId val="257196152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537808"/>
        <c:crosses val="autoZero"/>
        <c:crossBetween val="midCat"/>
      </c:valAx>
      <c:valAx>
        <c:axId val="552537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57196152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Sample5!$AO$26:$AO$32</c:f>
              <c:numCache>
                <c:formatCode>General</c:formatCode>
                <c:ptCount val="7"/>
              </c:numCache>
            </c:numRef>
          </c:xVal>
          <c:yVal>
            <c:numRef>
              <c:f>Sample5!$AV$26:$AV$32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</c:numCache>
            </c:numRef>
          </c:xVal>
          <c:yVal>
            <c:numRef>
              <c:f>Sample5!$AR$26:$AR$32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</c:numCache>
            </c:numRef>
          </c:xVal>
          <c:yVal>
            <c:numRef>
              <c:f>Sample5!$AS$26:$AS$32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</c:numCache>
            </c:numRef>
          </c:xVal>
          <c:yVal>
            <c:numRef>
              <c:f>Sample5!$AT$26:$AT$32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</c:numCache>
            </c:numRef>
          </c:xVal>
          <c:yVal>
            <c:numRef>
              <c:f>Sample5!$AU$26:$AU$32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</c:numCache>
            </c:numRef>
          </c:xVal>
          <c:yVal>
            <c:numRef>
              <c:f>Sample5!$AP$26:$AP$32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538984"/>
        <c:axId val="552539376"/>
      </c:scatterChart>
      <c:valAx>
        <c:axId val="55253898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539376"/>
        <c:crosses val="autoZero"/>
        <c:crossBetween val="midCat"/>
      </c:valAx>
      <c:valAx>
        <c:axId val="552539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538984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Sample6!$AO$26:$AO$32</c:f>
              <c:numCache>
                <c:formatCode>General</c:formatCode>
                <c:ptCount val="7"/>
              </c:numCache>
            </c:numRef>
          </c:xVal>
          <c:yVal>
            <c:numRef>
              <c:f>Sample6!$AV$26:$AV$32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</c:numCache>
            </c:numRef>
          </c:xVal>
          <c:yVal>
            <c:numRef>
              <c:f>Sample6!$AR$26:$AR$32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</c:numCache>
            </c:numRef>
          </c:xVal>
          <c:yVal>
            <c:numRef>
              <c:f>Sample6!$AS$26:$AS$32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</c:numCache>
            </c:numRef>
          </c:xVal>
          <c:yVal>
            <c:numRef>
              <c:f>Sample6!$AT$26:$AT$32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</c:numCache>
            </c:numRef>
          </c:xVal>
          <c:yVal>
            <c:numRef>
              <c:f>Sample6!$AU$26:$AU$32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</c:numCache>
            </c:numRef>
          </c:xVal>
          <c:yVal>
            <c:numRef>
              <c:f>Sample6!$AP$26:$AP$32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540552"/>
        <c:axId val="552540944"/>
      </c:scatterChart>
      <c:valAx>
        <c:axId val="552540552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540944"/>
        <c:crosses val="autoZero"/>
        <c:crossBetween val="midCat"/>
      </c:valAx>
      <c:valAx>
        <c:axId val="5525409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540552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Sample7!$AO$26:$AO$32</c:f>
              <c:numCache>
                <c:formatCode>General</c:formatCode>
                <c:ptCount val="7"/>
              </c:numCache>
            </c:numRef>
          </c:xVal>
          <c:yVal>
            <c:numRef>
              <c:f>Sample7!$AV$26:$AV$32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</c:numCache>
            </c:numRef>
          </c:xVal>
          <c:yVal>
            <c:numRef>
              <c:f>Sample7!$AR$26:$AR$32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</c:numCache>
            </c:numRef>
          </c:xVal>
          <c:yVal>
            <c:numRef>
              <c:f>Sample7!$AS$26:$AS$32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</c:numCache>
            </c:numRef>
          </c:xVal>
          <c:yVal>
            <c:numRef>
              <c:f>Sample7!$AT$26:$AT$32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</c:numCache>
            </c:numRef>
          </c:xVal>
          <c:yVal>
            <c:numRef>
              <c:f>Sample7!$AU$26:$AU$32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</c:numCache>
            </c:numRef>
          </c:xVal>
          <c:yVal>
            <c:numRef>
              <c:f>Sample7!$AP$26:$AP$32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74624"/>
        <c:axId val="553975016"/>
      </c:scatterChart>
      <c:valAx>
        <c:axId val="55397462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3975016"/>
        <c:crosses val="autoZero"/>
        <c:crossBetween val="midCat"/>
      </c:valAx>
      <c:valAx>
        <c:axId val="553975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3974624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76192"/>
        <c:axId val="553976584"/>
      </c:scatterChart>
      <c:valAx>
        <c:axId val="553976192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3976584"/>
        <c:crosses val="autoZero"/>
        <c:crossBetween val="midCat"/>
      </c:valAx>
      <c:valAx>
        <c:axId val="5539765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3976192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77760"/>
        <c:axId val="553524960"/>
      </c:scatterChart>
      <c:valAx>
        <c:axId val="553977760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3524960"/>
        <c:crosses val="autoZero"/>
        <c:crossBetween val="midCat"/>
      </c:valAx>
      <c:valAx>
        <c:axId val="5535249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3977760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526136"/>
        <c:axId val="553526528"/>
      </c:scatterChart>
      <c:valAx>
        <c:axId val="553526136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3526528"/>
        <c:crosses val="autoZero"/>
        <c:crossBetween val="midCat"/>
      </c:valAx>
      <c:valAx>
        <c:axId val="553526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352613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528096"/>
        <c:axId val="553528488"/>
      </c:scatterChart>
      <c:valAx>
        <c:axId val="553528096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3528488"/>
        <c:crosses val="autoZero"/>
        <c:crossBetween val="midCat"/>
      </c:valAx>
      <c:valAx>
        <c:axId val="5535284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352809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05096"/>
        <c:axId val="555205488"/>
      </c:scatterChart>
      <c:valAx>
        <c:axId val="555205096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5205488"/>
        <c:crosses val="autoZero"/>
        <c:crossBetween val="midCat"/>
      </c:valAx>
      <c:valAx>
        <c:axId val="5552054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520509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06664"/>
        <c:axId val="555207056"/>
      </c:scatterChart>
      <c:valAx>
        <c:axId val="55520666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5207056"/>
        <c:crosses val="autoZero"/>
        <c:crossBetween val="midCat"/>
      </c:valAx>
      <c:valAx>
        <c:axId val="5552070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5206664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18" Type="http://schemas.openxmlformats.org/officeDocument/2006/relationships/chart" Target="../charts/chart19.xml"/><Relationship Id="rId26" Type="http://schemas.openxmlformats.org/officeDocument/2006/relationships/chart" Target="../charts/chart27.xml"/><Relationship Id="rId3" Type="http://schemas.openxmlformats.org/officeDocument/2006/relationships/chart" Target="../charts/chart4.xml"/><Relationship Id="rId21" Type="http://schemas.openxmlformats.org/officeDocument/2006/relationships/chart" Target="../charts/chart22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25" Type="http://schemas.openxmlformats.org/officeDocument/2006/relationships/chart" Target="../charts/chart26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20" Type="http://schemas.openxmlformats.org/officeDocument/2006/relationships/chart" Target="../charts/chart21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24" Type="http://schemas.openxmlformats.org/officeDocument/2006/relationships/chart" Target="../charts/chart25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23" Type="http://schemas.openxmlformats.org/officeDocument/2006/relationships/chart" Target="../charts/chart24.xml"/><Relationship Id="rId10" Type="http://schemas.openxmlformats.org/officeDocument/2006/relationships/chart" Target="../charts/chart11.xml"/><Relationship Id="rId19" Type="http://schemas.openxmlformats.org/officeDocument/2006/relationships/chart" Target="../charts/chart20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Relationship Id="rId22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9.emf"/><Relationship Id="rId7" Type="http://schemas.openxmlformats.org/officeDocument/2006/relationships/image" Target="../media/image10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123825</xdr:rowOff>
        </xdr:from>
        <xdr:to>
          <xdr:col>0</xdr:col>
          <xdr:colOff>1104900</xdr:colOff>
          <xdr:row>16</xdr:row>
          <xdr:rowOff>47625</xdr:rowOff>
        </xdr:to>
        <xdr:sp macro="" textlink="">
          <xdr:nvSpPr>
            <xdr:cNvPr id="5121" name="ImportAntho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123825</xdr:rowOff>
        </xdr:from>
        <xdr:to>
          <xdr:col>0</xdr:col>
          <xdr:colOff>1104900</xdr:colOff>
          <xdr:row>20</xdr:row>
          <xdr:rowOff>180975</xdr:rowOff>
        </xdr:to>
        <xdr:sp macro="" textlink="">
          <xdr:nvSpPr>
            <xdr:cNvPr id="5124" name="LijstNaarMatrix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123825</xdr:rowOff>
        </xdr:from>
        <xdr:to>
          <xdr:col>0</xdr:col>
          <xdr:colOff>1114425</xdr:colOff>
          <xdr:row>18</xdr:row>
          <xdr:rowOff>47625</xdr:rowOff>
        </xdr:to>
        <xdr:sp macro="" textlink="">
          <xdr:nvSpPr>
            <xdr:cNvPr id="5126" name="ImportWizard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57</xdr:row>
          <xdr:rowOff>47625</xdr:rowOff>
        </xdr:from>
        <xdr:to>
          <xdr:col>4</xdr:col>
          <xdr:colOff>314325</xdr:colOff>
          <xdr:row>58</xdr:row>
          <xdr:rowOff>161925</xdr:rowOff>
        </xdr:to>
        <xdr:sp macro="" textlink="">
          <xdr:nvSpPr>
            <xdr:cNvPr id="10241" name="Dotblo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114300</xdr:rowOff>
        </xdr:from>
        <xdr:to>
          <xdr:col>15</xdr:col>
          <xdr:colOff>323850</xdr:colOff>
          <xdr:row>5</xdr:row>
          <xdr:rowOff>0</xdr:rowOff>
        </xdr:to>
        <xdr:sp macro="" textlink="">
          <xdr:nvSpPr>
            <xdr:cNvPr id="10242" name="TransPose_Aborbances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238125</xdr:colOff>
          <xdr:row>16</xdr:row>
          <xdr:rowOff>142875</xdr:rowOff>
        </xdr:from>
        <xdr:to>
          <xdr:col>14</xdr:col>
          <xdr:colOff>1000125</xdr:colOff>
          <xdr:row>20</xdr:row>
          <xdr:rowOff>38100</xdr:rowOff>
        </xdr:to>
        <xdr:sp macro="" textlink="">
          <xdr:nvSpPr>
            <xdr:cNvPr id="10244" name="FillPLASheets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447675</xdr:colOff>
          <xdr:row>8</xdr:row>
          <xdr:rowOff>0</xdr:rowOff>
        </xdr:from>
        <xdr:to>
          <xdr:col>24</xdr:col>
          <xdr:colOff>1781175</xdr:colOff>
          <xdr:row>9</xdr:row>
          <xdr:rowOff>152400</xdr:rowOff>
        </xdr:to>
        <xdr:sp macro="" textlink="">
          <xdr:nvSpPr>
            <xdr:cNvPr id="10245" name="ClearSheetsSamples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438150</xdr:colOff>
          <xdr:row>10</xdr:row>
          <xdr:rowOff>9525</xdr:rowOff>
        </xdr:from>
        <xdr:to>
          <xdr:col>24</xdr:col>
          <xdr:colOff>1790700</xdr:colOff>
          <xdr:row>11</xdr:row>
          <xdr:rowOff>142875</xdr:rowOff>
        </xdr:to>
        <xdr:sp macro="" textlink="">
          <xdr:nvSpPr>
            <xdr:cNvPr id="10246" name="ClearAbsorbances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428625</xdr:colOff>
          <xdr:row>12</xdr:row>
          <xdr:rowOff>9525</xdr:rowOff>
        </xdr:from>
        <xdr:to>
          <xdr:col>24</xdr:col>
          <xdr:colOff>1771650</xdr:colOff>
          <xdr:row>13</xdr:row>
          <xdr:rowOff>152400</xdr:rowOff>
        </xdr:to>
        <xdr:sp macro="" textlink="">
          <xdr:nvSpPr>
            <xdr:cNvPr id="10247" name="ClearAll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409575</xdr:colOff>
          <xdr:row>14</xdr:row>
          <xdr:rowOff>104775</xdr:rowOff>
        </xdr:from>
        <xdr:to>
          <xdr:col>24</xdr:col>
          <xdr:colOff>1771650</xdr:colOff>
          <xdr:row>16</xdr:row>
          <xdr:rowOff>152400</xdr:rowOff>
        </xdr:to>
        <xdr:sp macro="" textlink="">
          <xdr:nvSpPr>
            <xdr:cNvPr id="10248" name="SheetUpdate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44</xdr:row>
          <xdr:rowOff>104775</xdr:rowOff>
        </xdr:from>
        <xdr:to>
          <xdr:col>14</xdr:col>
          <xdr:colOff>933450</xdr:colOff>
          <xdr:row>46</xdr:row>
          <xdr:rowOff>19050</xdr:rowOff>
        </xdr:to>
        <xdr:sp macro="" textlink="">
          <xdr:nvSpPr>
            <xdr:cNvPr id="10250" name="RestoreAbs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485775</xdr:colOff>
          <xdr:row>12</xdr:row>
          <xdr:rowOff>38100</xdr:rowOff>
        </xdr:from>
        <xdr:to>
          <xdr:col>9</xdr:col>
          <xdr:colOff>0</xdr:colOff>
          <xdr:row>13</xdr:row>
          <xdr:rowOff>152400</xdr:rowOff>
        </xdr:to>
        <xdr:sp macro="" textlink="">
          <xdr:nvSpPr>
            <xdr:cNvPr id="25601" name="LogitOptimize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114300</xdr:colOff>
      <xdr:row>0</xdr:row>
      <xdr:rowOff>200025</xdr:rowOff>
    </xdr:from>
    <xdr:to>
      <xdr:col>15</xdr:col>
      <xdr:colOff>352425</xdr:colOff>
      <xdr:row>19</xdr:row>
      <xdr:rowOff>123825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20</xdr:row>
          <xdr:rowOff>28575</xdr:rowOff>
        </xdr:from>
        <xdr:to>
          <xdr:col>8</xdr:col>
          <xdr:colOff>600075</xdr:colOff>
          <xdr:row>21</xdr:row>
          <xdr:rowOff>161925</xdr:rowOff>
        </xdr:to>
        <xdr:sp macro="" textlink="">
          <xdr:nvSpPr>
            <xdr:cNvPr id="25605" name="RestoreAbsorbances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5586</xdr:colOff>
      <xdr:row>0</xdr:row>
      <xdr:rowOff>1</xdr:rowOff>
    </xdr:from>
    <xdr:to>
      <xdr:col>0</xdr:col>
      <xdr:colOff>2185148</xdr:colOff>
      <xdr:row>1</xdr:row>
      <xdr:rowOff>0</xdr:rowOff>
    </xdr:to>
    <xdr:graphicFrame macro="">
      <xdr:nvGraphicFramePr>
        <xdr:cNvPr id="15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2190749</xdr:colOff>
      <xdr:row>0</xdr:row>
      <xdr:rowOff>0</xdr:rowOff>
    </xdr:from>
    <xdr:to>
      <xdr:col>1</xdr:col>
      <xdr:colOff>2186826</xdr:colOff>
      <xdr:row>1</xdr:row>
      <xdr:rowOff>0</xdr:rowOff>
    </xdr:to>
    <xdr:graphicFrame macro="">
      <xdr:nvGraphicFramePr>
        <xdr:cNvPr id="17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5599</xdr:colOff>
      <xdr:row>0</xdr:row>
      <xdr:rowOff>0</xdr:rowOff>
    </xdr:from>
    <xdr:to>
      <xdr:col>3</xdr:col>
      <xdr:colOff>0</xdr:colOff>
      <xdr:row>1</xdr:row>
      <xdr:rowOff>9525</xdr:rowOff>
    </xdr:to>
    <xdr:graphicFrame macro="">
      <xdr:nvGraphicFramePr>
        <xdr:cNvPr id="2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5598</xdr:colOff>
      <xdr:row>1</xdr:row>
      <xdr:rowOff>0</xdr:rowOff>
    </xdr:from>
    <xdr:to>
      <xdr:col>0</xdr:col>
      <xdr:colOff>2190749</xdr:colOff>
      <xdr:row>1</xdr:row>
      <xdr:rowOff>2185147</xdr:rowOff>
    </xdr:to>
    <xdr:graphicFrame macro="">
      <xdr:nvGraphicFramePr>
        <xdr:cNvPr id="23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5584</xdr:colOff>
      <xdr:row>1</xdr:row>
      <xdr:rowOff>0</xdr:rowOff>
    </xdr:from>
    <xdr:to>
      <xdr:col>1</xdr:col>
      <xdr:colOff>2185147</xdr:colOff>
      <xdr:row>2</xdr:row>
      <xdr:rowOff>11206</xdr:rowOff>
    </xdr:to>
    <xdr:graphicFrame macro="">
      <xdr:nvGraphicFramePr>
        <xdr:cNvPr id="25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5598</xdr:colOff>
      <xdr:row>1</xdr:row>
      <xdr:rowOff>0</xdr:rowOff>
    </xdr:from>
    <xdr:to>
      <xdr:col>2</xdr:col>
      <xdr:colOff>2190749</xdr:colOff>
      <xdr:row>1</xdr:row>
      <xdr:rowOff>2185147</xdr:rowOff>
    </xdr:to>
    <xdr:graphicFrame macro="">
      <xdr:nvGraphicFramePr>
        <xdr:cNvPr id="26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5556</xdr:colOff>
      <xdr:row>2</xdr:row>
      <xdr:rowOff>0</xdr:rowOff>
    </xdr:from>
    <xdr:to>
      <xdr:col>1</xdr:col>
      <xdr:colOff>0</xdr:colOff>
      <xdr:row>3</xdr:row>
      <xdr:rowOff>0</xdr:rowOff>
    </xdr:to>
    <xdr:graphicFrame macro="">
      <xdr:nvGraphicFramePr>
        <xdr:cNvPr id="27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5556</xdr:colOff>
      <xdr:row>2</xdr:row>
      <xdr:rowOff>0</xdr:rowOff>
    </xdr:from>
    <xdr:to>
      <xdr:col>1</xdr:col>
      <xdr:colOff>2173941</xdr:colOff>
      <xdr:row>3</xdr:row>
      <xdr:rowOff>0</xdr:rowOff>
    </xdr:to>
    <xdr:graphicFrame macro="">
      <xdr:nvGraphicFramePr>
        <xdr:cNvPr id="28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5626</xdr:colOff>
      <xdr:row>2</xdr:row>
      <xdr:rowOff>0</xdr:rowOff>
    </xdr:from>
    <xdr:to>
      <xdr:col>3</xdr:col>
      <xdr:colOff>11205</xdr:colOff>
      <xdr:row>3</xdr:row>
      <xdr:rowOff>0</xdr:rowOff>
    </xdr:to>
    <xdr:graphicFrame macro="">
      <xdr:nvGraphicFramePr>
        <xdr:cNvPr id="30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5584</xdr:colOff>
      <xdr:row>3</xdr:row>
      <xdr:rowOff>0</xdr:rowOff>
    </xdr:from>
    <xdr:to>
      <xdr:col>0</xdr:col>
      <xdr:colOff>2185147</xdr:colOff>
      <xdr:row>4</xdr:row>
      <xdr:rowOff>0</xdr:rowOff>
    </xdr:to>
    <xdr:graphicFrame macro="">
      <xdr:nvGraphicFramePr>
        <xdr:cNvPr id="3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5556</xdr:colOff>
      <xdr:row>3</xdr:row>
      <xdr:rowOff>0</xdr:rowOff>
    </xdr:from>
    <xdr:to>
      <xdr:col>1</xdr:col>
      <xdr:colOff>2173941</xdr:colOff>
      <xdr:row>3</xdr:row>
      <xdr:rowOff>2185147</xdr:rowOff>
    </xdr:to>
    <xdr:graphicFrame macro="">
      <xdr:nvGraphicFramePr>
        <xdr:cNvPr id="33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5626</xdr:colOff>
      <xdr:row>3</xdr:row>
      <xdr:rowOff>0</xdr:rowOff>
    </xdr:from>
    <xdr:to>
      <xdr:col>3</xdr:col>
      <xdr:colOff>11205</xdr:colOff>
      <xdr:row>4</xdr:row>
      <xdr:rowOff>0</xdr:rowOff>
    </xdr:to>
    <xdr:graphicFrame macro="">
      <xdr:nvGraphicFramePr>
        <xdr:cNvPr id="34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5598</xdr:colOff>
      <xdr:row>3</xdr:row>
      <xdr:rowOff>2185147</xdr:rowOff>
    </xdr:from>
    <xdr:to>
      <xdr:col>0</xdr:col>
      <xdr:colOff>2190749</xdr:colOff>
      <xdr:row>5</xdr:row>
      <xdr:rowOff>0</xdr:rowOff>
    </xdr:to>
    <xdr:graphicFrame macro="">
      <xdr:nvGraphicFramePr>
        <xdr:cNvPr id="37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</xdr:colOff>
      <xdr:row>0</xdr:row>
      <xdr:rowOff>1</xdr:rowOff>
    </xdr:from>
    <xdr:to>
      <xdr:col>4</xdr:col>
      <xdr:colOff>2185148</xdr:colOff>
      <xdr:row>1</xdr:row>
      <xdr:rowOff>0</xdr:rowOff>
    </xdr:to>
    <xdr:graphicFrame macro="">
      <xdr:nvGraphicFramePr>
        <xdr:cNvPr id="38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23533</xdr:colOff>
      <xdr:row>0</xdr:row>
      <xdr:rowOff>0</xdr:rowOff>
    </xdr:from>
    <xdr:to>
      <xdr:col>5</xdr:col>
      <xdr:colOff>2186827</xdr:colOff>
      <xdr:row>1</xdr:row>
      <xdr:rowOff>0</xdr:rowOff>
    </xdr:to>
    <xdr:graphicFrame macro="">
      <xdr:nvGraphicFramePr>
        <xdr:cNvPr id="39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1</xdr:colOff>
      <xdr:row>0</xdr:row>
      <xdr:rowOff>0</xdr:rowOff>
    </xdr:from>
    <xdr:to>
      <xdr:col>7</xdr:col>
      <xdr:colOff>1</xdr:colOff>
      <xdr:row>1</xdr:row>
      <xdr:rowOff>9525</xdr:rowOff>
    </xdr:to>
    <xdr:graphicFrame macro="">
      <xdr:nvGraphicFramePr>
        <xdr:cNvPr id="40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1</xdr:row>
      <xdr:rowOff>2185147</xdr:rowOff>
    </xdr:to>
    <xdr:graphicFrame macro="">
      <xdr:nvGraphicFramePr>
        <xdr:cNvPr id="41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1</xdr:row>
      <xdr:rowOff>0</xdr:rowOff>
    </xdr:from>
    <xdr:to>
      <xdr:col>5</xdr:col>
      <xdr:colOff>2185147</xdr:colOff>
      <xdr:row>2</xdr:row>
      <xdr:rowOff>11206</xdr:rowOff>
    </xdr:to>
    <xdr:graphicFrame macro="">
      <xdr:nvGraphicFramePr>
        <xdr:cNvPr id="4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</xdr:col>
      <xdr:colOff>0</xdr:colOff>
      <xdr:row>1</xdr:row>
      <xdr:rowOff>0</xdr:rowOff>
    </xdr:from>
    <xdr:to>
      <xdr:col>7</xdr:col>
      <xdr:colOff>0</xdr:colOff>
      <xdr:row>1</xdr:row>
      <xdr:rowOff>2185147</xdr:rowOff>
    </xdr:to>
    <xdr:graphicFrame macro="">
      <xdr:nvGraphicFramePr>
        <xdr:cNvPr id="43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0</xdr:colOff>
      <xdr:row>2</xdr:row>
      <xdr:rowOff>0</xdr:rowOff>
    </xdr:from>
    <xdr:to>
      <xdr:col>4</xdr:col>
      <xdr:colOff>2173941</xdr:colOff>
      <xdr:row>3</xdr:row>
      <xdr:rowOff>0</xdr:rowOff>
    </xdr:to>
    <xdr:graphicFrame macro="">
      <xdr:nvGraphicFramePr>
        <xdr:cNvPr id="44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2</xdr:row>
      <xdr:rowOff>0</xdr:rowOff>
    </xdr:from>
    <xdr:to>
      <xdr:col>5</xdr:col>
      <xdr:colOff>2173941</xdr:colOff>
      <xdr:row>3</xdr:row>
      <xdr:rowOff>0</xdr:rowOff>
    </xdr:to>
    <xdr:graphicFrame macro="">
      <xdr:nvGraphicFramePr>
        <xdr:cNvPr id="45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</xdr:col>
      <xdr:colOff>0</xdr:colOff>
      <xdr:row>2</xdr:row>
      <xdr:rowOff>0</xdr:rowOff>
    </xdr:from>
    <xdr:to>
      <xdr:col>7</xdr:col>
      <xdr:colOff>11206</xdr:colOff>
      <xdr:row>3</xdr:row>
      <xdr:rowOff>0</xdr:rowOff>
    </xdr:to>
    <xdr:graphicFrame macro="">
      <xdr:nvGraphicFramePr>
        <xdr:cNvPr id="46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0</xdr:colOff>
      <xdr:row>3</xdr:row>
      <xdr:rowOff>0</xdr:rowOff>
    </xdr:from>
    <xdr:to>
      <xdr:col>4</xdr:col>
      <xdr:colOff>2185147</xdr:colOff>
      <xdr:row>4</xdr:row>
      <xdr:rowOff>0</xdr:rowOff>
    </xdr:to>
    <xdr:graphicFrame macro="">
      <xdr:nvGraphicFramePr>
        <xdr:cNvPr id="47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3</xdr:row>
      <xdr:rowOff>0</xdr:rowOff>
    </xdr:from>
    <xdr:to>
      <xdr:col>5</xdr:col>
      <xdr:colOff>2173941</xdr:colOff>
      <xdr:row>3</xdr:row>
      <xdr:rowOff>2185147</xdr:rowOff>
    </xdr:to>
    <xdr:graphicFrame macro="">
      <xdr:nvGraphicFramePr>
        <xdr:cNvPr id="48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6</xdr:col>
      <xdr:colOff>0</xdr:colOff>
      <xdr:row>3</xdr:row>
      <xdr:rowOff>0</xdr:rowOff>
    </xdr:from>
    <xdr:to>
      <xdr:col>7</xdr:col>
      <xdr:colOff>11206</xdr:colOff>
      <xdr:row>4</xdr:row>
      <xdr:rowOff>0</xdr:rowOff>
    </xdr:to>
    <xdr:graphicFrame macro="">
      <xdr:nvGraphicFramePr>
        <xdr:cNvPr id="49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11206</xdr:rowOff>
    </xdr:to>
    <xdr:graphicFrame macro="">
      <xdr:nvGraphicFramePr>
        <xdr:cNvPr id="50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3074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6145" name="DixonButtonSample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6146" name="RecalcSample1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12289" name="DixonButtonSample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12290" name="RecalcSample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13313" name="DixonButtonSample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13314" name="RecalcSample1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14337" name="DixonButtonSample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14338" name="RecalcSample1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15361" name="DixonButtonSample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15362" name="RecalcSample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16385" name="DixonButtonSample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16386" name="RecalcSample1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17409" name="DixonButtonSample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17410" name="RecalcSample1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18433" name="DixonButtonSample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18434" name="RecalcSample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19457" name="DixonButtonSample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19458" name="RecalcSample1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20481" name="DixonButtonSample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20482" name="RecalcSample1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21505" name="DixonButtonSample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21506" name="RecalcSample1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22529" name="DixonButtonSample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22530" name="RecalcSample1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23553" name="DixonButtonSample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23554" name="RecalcSample1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1.xml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2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3.xml"/><Relationship Id="rId5" Type="http://schemas.openxmlformats.org/officeDocument/2006/relationships/image" Target="../media/image22.emf"/><Relationship Id="rId4" Type="http://schemas.openxmlformats.org/officeDocument/2006/relationships/control" Target="../activeX/activeX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2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24.emf"/><Relationship Id="rId4" Type="http://schemas.openxmlformats.org/officeDocument/2006/relationships/control" Target="../activeX/activeX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7.xml"/><Relationship Id="rId5" Type="http://schemas.openxmlformats.org/officeDocument/2006/relationships/image" Target="../media/image26.emf"/><Relationship Id="rId4" Type="http://schemas.openxmlformats.org/officeDocument/2006/relationships/control" Target="../activeX/activeX2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9.xml"/><Relationship Id="rId5" Type="http://schemas.openxmlformats.org/officeDocument/2006/relationships/image" Target="../media/image28.emf"/><Relationship Id="rId4" Type="http://schemas.openxmlformats.org/officeDocument/2006/relationships/control" Target="../activeX/activeX2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31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31.xml"/><Relationship Id="rId5" Type="http://schemas.openxmlformats.org/officeDocument/2006/relationships/image" Target="../media/image30.emf"/><Relationship Id="rId4" Type="http://schemas.openxmlformats.org/officeDocument/2006/relationships/control" Target="../activeX/activeX3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image" Target="../media/image33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33.xml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image" Target="../media/image35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35.xml"/><Relationship Id="rId5" Type="http://schemas.openxmlformats.org/officeDocument/2006/relationships/image" Target="../media/image34.emf"/><Relationship Id="rId4" Type="http://schemas.openxmlformats.org/officeDocument/2006/relationships/control" Target="../activeX/activeX3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image" Target="../media/image37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37.xml"/><Relationship Id="rId5" Type="http://schemas.openxmlformats.org/officeDocument/2006/relationships/image" Target="../media/image36.emf"/><Relationship Id="rId4" Type="http://schemas.openxmlformats.org/officeDocument/2006/relationships/control" Target="../activeX/activeX3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image" Target="../media/image39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39.xml"/><Relationship Id="rId5" Type="http://schemas.openxmlformats.org/officeDocument/2006/relationships/image" Target="../media/image38.emf"/><Relationship Id="rId4" Type="http://schemas.openxmlformats.org/officeDocument/2006/relationships/control" Target="../activeX/activeX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  <pageSetUpPr fitToPage="1"/>
  </sheetPr>
  <dimension ref="A1:AO64"/>
  <sheetViews>
    <sheetView zoomScale="85" zoomScaleNormal="85" workbookViewId="0">
      <selection activeCell="A14" sqref="A14"/>
    </sheetView>
  </sheetViews>
  <sheetFormatPr defaultColWidth="8" defaultRowHeight="14.25" x14ac:dyDescent="0.2"/>
  <cols>
    <col min="1" max="8" width="16.85546875" style="134" customWidth="1"/>
    <col min="9" max="17" width="13.5703125" style="134" customWidth="1"/>
    <col min="18" max="30" width="7.85546875" style="134" customWidth="1"/>
    <col min="31" max="16384" width="8" style="134"/>
  </cols>
  <sheetData>
    <row r="1" spans="1:41" ht="15" x14ac:dyDescent="0.25">
      <c r="A1" s="549"/>
      <c r="B1" s="550"/>
      <c r="C1" s="550"/>
      <c r="D1" s="550"/>
      <c r="E1" s="550"/>
      <c r="F1" s="550"/>
      <c r="G1" s="550"/>
      <c r="H1" s="55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</row>
    <row r="2" spans="1:41" ht="15" x14ac:dyDescent="0.25">
      <c r="A2" s="552"/>
      <c r="B2" s="553"/>
      <c r="C2" s="553"/>
      <c r="D2" s="553"/>
      <c r="E2" s="553"/>
      <c r="F2" s="553"/>
      <c r="G2" s="553"/>
      <c r="H2" s="554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</row>
    <row r="3" spans="1:41" ht="15" x14ac:dyDescent="0.25">
      <c r="A3" s="552"/>
      <c r="B3" s="553"/>
      <c r="C3" s="553"/>
      <c r="D3" s="553"/>
      <c r="E3" s="553"/>
      <c r="F3" s="553"/>
      <c r="G3" s="553"/>
      <c r="H3" s="554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</row>
    <row r="4" spans="1:41" ht="15" x14ac:dyDescent="0.25">
      <c r="A4" s="552"/>
      <c r="B4" s="553"/>
      <c r="C4" s="553"/>
      <c r="D4" s="553"/>
      <c r="E4" s="553"/>
      <c r="F4" s="553"/>
      <c r="G4" s="553"/>
      <c r="H4" s="55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</row>
    <row r="5" spans="1:41" ht="15" x14ac:dyDescent="0.25">
      <c r="A5" s="552"/>
      <c r="B5" s="553"/>
      <c r="C5" s="553"/>
      <c r="D5" s="553"/>
      <c r="E5" s="553"/>
      <c r="F5" s="553"/>
      <c r="G5" s="553"/>
      <c r="H5" s="554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</row>
    <row r="6" spans="1:41" ht="15" x14ac:dyDescent="0.25">
      <c r="A6" s="552"/>
      <c r="B6" s="553"/>
      <c r="C6" s="553"/>
      <c r="D6" s="553"/>
      <c r="E6" s="553"/>
      <c r="F6" s="553"/>
      <c r="G6" s="553"/>
      <c r="H6" s="554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</row>
    <row r="7" spans="1:41" ht="15" x14ac:dyDescent="0.25">
      <c r="A7" s="552"/>
      <c r="B7" s="553"/>
      <c r="C7" s="553"/>
      <c r="D7" s="553"/>
      <c r="E7" s="553"/>
      <c r="F7" s="553"/>
      <c r="G7" s="553"/>
      <c r="H7" s="554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</row>
    <row r="8" spans="1:41" ht="15" x14ac:dyDescent="0.25">
      <c r="A8" s="552"/>
      <c r="B8" s="553"/>
      <c r="C8" s="553"/>
      <c r="D8" s="553"/>
      <c r="E8" s="553"/>
      <c r="F8" s="553"/>
      <c r="G8" s="553"/>
      <c r="H8" s="554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</row>
    <row r="9" spans="1:41" ht="15" x14ac:dyDescent="0.25">
      <c r="A9" s="552"/>
      <c r="B9" s="553"/>
      <c r="C9" s="553"/>
      <c r="D9" s="553"/>
      <c r="E9" s="553"/>
      <c r="F9" s="553"/>
      <c r="G9" s="553"/>
      <c r="H9" s="554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</row>
    <row r="10" spans="1:41" ht="15" x14ac:dyDescent="0.25">
      <c r="A10" s="552"/>
      <c r="B10" s="553"/>
      <c r="C10" s="553"/>
      <c r="D10" s="553"/>
      <c r="E10" s="553"/>
      <c r="F10" s="553"/>
      <c r="G10" s="553"/>
      <c r="H10" s="554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</row>
    <row r="11" spans="1:41" ht="15" x14ac:dyDescent="0.25">
      <c r="A11" s="552"/>
      <c r="B11" s="553"/>
      <c r="C11" s="553"/>
      <c r="D11" s="553"/>
      <c r="E11" s="553"/>
      <c r="F11" s="553"/>
      <c r="G11" s="553"/>
      <c r="H11" s="554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</row>
    <row r="12" spans="1:41" ht="15" x14ac:dyDescent="0.25">
      <c r="A12" s="555"/>
      <c r="B12" s="556"/>
      <c r="C12" s="556"/>
      <c r="D12" s="556"/>
      <c r="E12" s="556"/>
      <c r="F12" s="556"/>
      <c r="G12" s="556"/>
      <c r="H12" s="557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</row>
    <row r="13" spans="1:41" ht="1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</row>
    <row r="14" spans="1:41" ht="1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</row>
    <row r="15" spans="1:41" ht="1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</row>
    <row r="16" spans="1:41" ht="1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</row>
    <row r="17" spans="1:41" ht="1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</row>
    <row r="18" spans="1:41" ht="1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</row>
    <row r="19" spans="1:41" ht="1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</row>
    <row r="20" spans="1:41" ht="1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</row>
    <row r="21" spans="1:41" ht="1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</row>
    <row r="22" spans="1:41" ht="1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</row>
    <row r="23" spans="1:41" ht="1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</row>
    <row r="24" spans="1:41" ht="1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</row>
    <row r="25" spans="1:41" ht="1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</row>
    <row r="26" spans="1:41" ht="1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</row>
    <row r="27" spans="1:41" ht="1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</row>
    <row r="28" spans="1:41" ht="1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</row>
    <row r="29" spans="1:41" ht="1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</row>
    <row r="30" spans="1:41" ht="1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</row>
    <row r="31" spans="1:41" ht="1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</row>
    <row r="32" spans="1:41" ht="1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</row>
    <row r="33" spans="1:41" ht="1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</row>
    <row r="34" spans="1:41" ht="1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</row>
    <row r="35" spans="1:41" ht="1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</row>
    <row r="36" spans="1:41" ht="1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</row>
    <row r="37" spans="1:41" ht="1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</row>
    <row r="38" spans="1:41" ht="1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</row>
    <row r="39" spans="1:41" ht="1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</row>
    <row r="40" spans="1:41" ht="1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</row>
    <row r="41" spans="1:41" ht="1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</row>
    <row r="42" spans="1:41" ht="1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</row>
    <row r="43" spans="1:41" ht="1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</row>
    <row r="44" spans="1:41" ht="1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</row>
    <row r="45" spans="1:41" ht="1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</row>
    <row r="46" spans="1:41" ht="1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</row>
    <row r="47" spans="1:41" ht="1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</row>
    <row r="48" spans="1:41" ht="1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</row>
    <row r="49" spans="1:41" ht="1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</row>
    <row r="50" spans="1:41" ht="1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</row>
    <row r="51" spans="1:41" ht="1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</row>
    <row r="52" spans="1:41" ht="1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</row>
    <row r="53" spans="1:41" ht="1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</row>
    <row r="54" spans="1:41" ht="1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</row>
    <row r="55" spans="1:41" ht="1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</row>
    <row r="56" spans="1:41" ht="1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</row>
    <row r="57" spans="1:41" ht="1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</row>
    <row r="58" spans="1:41" ht="1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</row>
    <row r="59" spans="1:41" ht="1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</row>
    <row r="60" spans="1:41" ht="1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</row>
    <row r="61" spans="1:41" ht="1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</row>
    <row r="62" spans="1:41" ht="1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</row>
    <row r="63" spans="1:41" ht="1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</row>
    <row r="64" spans="1:41" ht="1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</row>
  </sheetData>
  <phoneticPr fontId="23" type="noConversion"/>
  <pageMargins left="0.74803149606299213" right="0.74803149606299213" top="0.98425196850393704" bottom="0.98425196850393704" header="0.51181102362204722" footer="0.51181102362204722"/>
  <pageSetup paperSize="9" scale="25" orientation="portrait" r:id="rId1"/>
  <headerFooter alignWithMargins="0">
    <oddFooter>&amp;L&amp;Z&amp;F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ImportAnthos">
          <controlPr defaultSize="0" autoLine="0" r:id="rId5">
            <anchor moveWithCells="1">
              <from>
                <xdr:col>0</xdr:col>
                <xdr:colOff>0</xdr:colOff>
                <xdr:row>14</xdr:row>
                <xdr:rowOff>123825</xdr:rowOff>
              </from>
              <to>
                <xdr:col>0</xdr:col>
                <xdr:colOff>1104900</xdr:colOff>
                <xdr:row>16</xdr:row>
                <xdr:rowOff>47625</xdr:rowOff>
              </to>
            </anchor>
          </controlPr>
        </control>
      </mc:Choice>
      <mc:Fallback>
        <control shapeId="5121" r:id="rId4" name="ImportAnthos"/>
      </mc:Fallback>
    </mc:AlternateContent>
    <mc:AlternateContent xmlns:mc="http://schemas.openxmlformats.org/markup-compatibility/2006">
      <mc:Choice Requires="x14">
        <control shapeId="5124" r:id="rId6" name="LijstNaarMatrix">
          <controlPr defaultSize="0" autoLine="0" r:id="rId7">
            <anchor moveWithCells="1">
              <from>
                <xdr:col>0</xdr:col>
                <xdr:colOff>0</xdr:colOff>
                <xdr:row>18</xdr:row>
                <xdr:rowOff>123825</xdr:rowOff>
              </from>
              <to>
                <xdr:col>0</xdr:col>
                <xdr:colOff>1104900</xdr:colOff>
                <xdr:row>20</xdr:row>
                <xdr:rowOff>180975</xdr:rowOff>
              </to>
            </anchor>
          </controlPr>
        </control>
      </mc:Choice>
      <mc:Fallback>
        <control shapeId="5124" r:id="rId6" name="LijstNaarMatrix"/>
      </mc:Fallback>
    </mc:AlternateContent>
    <mc:AlternateContent xmlns:mc="http://schemas.openxmlformats.org/markup-compatibility/2006">
      <mc:Choice Requires="x14">
        <control shapeId="5126" r:id="rId8" name="ImportWizard">
          <controlPr defaultSize="0" autoLine="0" r:id="rId9">
            <anchor moveWithCells="1">
              <from>
                <xdr:col>0</xdr:col>
                <xdr:colOff>9525</xdr:colOff>
                <xdr:row>16</xdr:row>
                <xdr:rowOff>123825</xdr:rowOff>
              </from>
              <to>
                <xdr:col>0</xdr:col>
                <xdr:colOff>1114425</xdr:colOff>
                <xdr:row>18</xdr:row>
                <xdr:rowOff>47625</xdr:rowOff>
              </to>
            </anchor>
          </controlPr>
        </control>
      </mc:Choice>
      <mc:Fallback>
        <control shapeId="5126" r:id="rId8" name="ImportWiza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  <pageSetUpPr fitToPage="1"/>
  </sheetPr>
  <dimension ref="A1:AI463"/>
  <sheetViews>
    <sheetView tabSelected="1" zoomScaleNormal="100" workbookViewId="0">
      <selection activeCell="B6" sqref="B6"/>
    </sheetView>
  </sheetViews>
  <sheetFormatPr defaultColWidth="8.85546875" defaultRowHeight="15" x14ac:dyDescent="0.25"/>
  <cols>
    <col min="1" max="1" width="8.85546875" style="151"/>
    <col min="2" max="13" width="7.28515625" style="151" customWidth="1"/>
    <col min="14" max="14" width="8.85546875" style="151"/>
    <col min="15" max="15" width="17" style="151" customWidth="1"/>
    <col min="16" max="16" width="5" style="151" customWidth="1"/>
    <col min="17" max="24" width="7.42578125" style="151" customWidth="1"/>
    <col min="25" max="25" width="30.7109375" style="151" customWidth="1"/>
    <col min="26" max="26" width="16.85546875" style="150" customWidth="1"/>
    <col min="27" max="16384" width="8.85546875" style="151"/>
  </cols>
  <sheetData>
    <row r="1" spans="1:35" x14ac:dyDescent="0.25">
      <c r="A1" s="151" t="s">
        <v>73</v>
      </c>
      <c r="G1" s="152" t="s">
        <v>158</v>
      </c>
      <c r="AA1"/>
      <c r="AB1"/>
      <c r="AC1"/>
      <c r="AD1"/>
      <c r="AE1"/>
      <c r="AF1"/>
      <c r="AG1"/>
      <c r="AH1"/>
      <c r="AI1"/>
    </row>
    <row r="2" spans="1:35" x14ac:dyDescent="0.25">
      <c r="A2" s="151" t="s">
        <v>157</v>
      </c>
      <c r="Y2" s="456"/>
      <c r="AA2"/>
      <c r="AB2"/>
      <c r="AC2"/>
      <c r="AD2"/>
      <c r="AE2"/>
      <c r="AF2"/>
      <c r="AG2"/>
      <c r="AH2"/>
      <c r="AI2"/>
    </row>
    <row r="3" spans="1:35" x14ac:dyDescent="0.25">
      <c r="A3" s="151" t="s">
        <v>74</v>
      </c>
      <c r="Y3" s="157"/>
      <c r="AA3"/>
      <c r="AB3"/>
      <c r="AC3"/>
      <c r="AD3"/>
      <c r="AE3"/>
      <c r="AF3"/>
      <c r="AG3"/>
      <c r="AH3"/>
      <c r="AI3"/>
    </row>
    <row r="4" spans="1:35" x14ac:dyDescent="0.25">
      <c r="A4" s="152" t="s">
        <v>75</v>
      </c>
      <c r="Q4" s="151" t="s">
        <v>131</v>
      </c>
      <c r="Y4" s="157"/>
      <c r="AA4"/>
      <c r="AB4"/>
      <c r="AC4"/>
      <c r="AD4"/>
      <c r="AE4"/>
      <c r="AF4"/>
      <c r="AG4"/>
      <c r="AH4"/>
      <c r="AI4"/>
    </row>
    <row r="5" spans="1:35" x14ac:dyDescent="0.25">
      <c r="B5" s="155">
        <v>1</v>
      </c>
      <c r="C5" s="155">
        <v>2</v>
      </c>
      <c r="D5" s="155">
        <v>3</v>
      </c>
      <c r="E5" s="155">
        <v>4</v>
      </c>
      <c r="F5" s="155">
        <v>5</v>
      </c>
      <c r="G5" s="155">
        <v>6</v>
      </c>
      <c r="H5" s="155">
        <v>7</v>
      </c>
      <c r="I5" s="155">
        <v>8</v>
      </c>
      <c r="J5" s="155">
        <v>9</v>
      </c>
      <c r="K5" s="155">
        <v>10</v>
      </c>
      <c r="L5" s="155">
        <v>11</v>
      </c>
      <c r="M5" s="155">
        <v>12</v>
      </c>
      <c r="Q5" s="155" t="s">
        <v>78</v>
      </c>
      <c r="R5" s="155" t="s">
        <v>79</v>
      </c>
      <c r="S5" s="155" t="s">
        <v>80</v>
      </c>
      <c r="T5" s="155" t="s">
        <v>81</v>
      </c>
      <c r="U5" s="155" t="s">
        <v>82</v>
      </c>
      <c r="V5" s="155" t="s">
        <v>83</v>
      </c>
      <c r="W5" s="155" t="s">
        <v>84</v>
      </c>
      <c r="X5" s="155" t="s">
        <v>85</v>
      </c>
      <c r="AA5"/>
      <c r="AB5"/>
      <c r="AC5"/>
      <c r="AD5"/>
      <c r="AE5"/>
      <c r="AF5"/>
      <c r="AG5"/>
      <c r="AH5"/>
      <c r="AI5"/>
    </row>
    <row r="6" spans="1:35" x14ac:dyDescent="0.25">
      <c r="A6" s="155" t="s">
        <v>78</v>
      </c>
      <c r="B6" s="211"/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3"/>
      <c r="P6" s="155">
        <v>1</v>
      </c>
      <c r="Q6" s="287"/>
      <c r="R6" s="288"/>
      <c r="S6" s="288"/>
      <c r="T6" s="288"/>
      <c r="U6" s="288"/>
      <c r="V6" s="288"/>
      <c r="W6" s="288"/>
      <c r="X6" s="289"/>
      <c r="AA6"/>
      <c r="AB6"/>
      <c r="AC6"/>
      <c r="AD6"/>
      <c r="AE6"/>
      <c r="AF6"/>
      <c r="AG6"/>
      <c r="AH6"/>
      <c r="AI6"/>
    </row>
    <row r="7" spans="1:35" x14ac:dyDescent="0.25">
      <c r="A7" s="155" t="s">
        <v>79</v>
      </c>
      <c r="B7" s="214"/>
      <c r="C7" s="215"/>
      <c r="D7" s="215"/>
      <c r="E7" s="215"/>
      <c r="F7" s="215"/>
      <c r="G7" s="215"/>
      <c r="H7" s="215"/>
      <c r="I7" s="215"/>
      <c r="J7" s="215"/>
      <c r="K7" s="215"/>
      <c r="L7" s="215"/>
      <c r="M7" s="216"/>
      <c r="P7" s="155">
        <v>2</v>
      </c>
      <c r="Q7" s="290"/>
      <c r="R7" s="291"/>
      <c r="S7" s="291"/>
      <c r="T7" s="291"/>
      <c r="U7" s="291"/>
      <c r="V7" s="291"/>
      <c r="W7" s="291"/>
      <c r="X7" s="292"/>
      <c r="AA7"/>
      <c r="AB7"/>
      <c r="AC7"/>
      <c r="AD7"/>
      <c r="AE7"/>
      <c r="AF7"/>
      <c r="AG7"/>
      <c r="AH7"/>
      <c r="AI7"/>
    </row>
    <row r="8" spans="1:35" x14ac:dyDescent="0.25">
      <c r="A8" s="155" t="s">
        <v>80</v>
      </c>
      <c r="B8" s="214"/>
      <c r="C8" s="215"/>
      <c r="D8" s="215"/>
      <c r="E8" s="215"/>
      <c r="F8" s="215"/>
      <c r="G8" s="215"/>
      <c r="H8" s="215"/>
      <c r="I8" s="215"/>
      <c r="J8" s="215"/>
      <c r="K8" s="215"/>
      <c r="L8" s="215"/>
      <c r="M8" s="216"/>
      <c r="P8" s="155">
        <v>3</v>
      </c>
      <c r="Q8" s="290"/>
      <c r="R8" s="291"/>
      <c r="S8" s="291"/>
      <c r="T8" s="291"/>
      <c r="U8" s="291"/>
      <c r="V8" s="291"/>
      <c r="W8" s="291"/>
      <c r="X8" s="292"/>
      <c r="AA8"/>
      <c r="AB8"/>
      <c r="AC8"/>
      <c r="AD8"/>
      <c r="AE8"/>
      <c r="AF8"/>
      <c r="AG8"/>
      <c r="AH8"/>
      <c r="AI8"/>
    </row>
    <row r="9" spans="1:35" x14ac:dyDescent="0.25">
      <c r="A9" s="155" t="s">
        <v>81</v>
      </c>
      <c r="B9" s="214"/>
      <c r="C9" s="215"/>
      <c r="D9" s="215"/>
      <c r="E9" s="215"/>
      <c r="F9" s="215"/>
      <c r="G9" s="215"/>
      <c r="H9" s="215"/>
      <c r="I9" s="215"/>
      <c r="J9" s="215"/>
      <c r="K9" s="215"/>
      <c r="L9" s="215"/>
      <c r="M9" s="216"/>
      <c r="P9" s="155">
        <v>4</v>
      </c>
      <c r="Q9" s="290"/>
      <c r="R9" s="291"/>
      <c r="S9" s="291"/>
      <c r="T9" s="291"/>
      <c r="U9" s="291"/>
      <c r="V9" s="291"/>
      <c r="W9" s="291"/>
      <c r="X9" s="292"/>
      <c r="AA9"/>
      <c r="AB9"/>
      <c r="AC9"/>
      <c r="AD9"/>
      <c r="AE9"/>
      <c r="AF9"/>
      <c r="AG9"/>
      <c r="AH9"/>
      <c r="AI9"/>
    </row>
    <row r="10" spans="1:35" x14ac:dyDescent="0.25">
      <c r="A10" s="155" t="s">
        <v>82</v>
      </c>
      <c r="B10" s="214"/>
      <c r="C10" s="215"/>
      <c r="D10" s="215"/>
      <c r="E10" s="215"/>
      <c r="F10" s="215"/>
      <c r="G10" s="215"/>
      <c r="H10" s="215"/>
      <c r="I10" s="215"/>
      <c r="J10" s="215"/>
      <c r="K10" s="215"/>
      <c r="L10" s="215"/>
      <c r="M10" s="216"/>
      <c r="P10" s="155">
        <v>5</v>
      </c>
      <c r="Q10" s="290"/>
      <c r="R10" s="291"/>
      <c r="S10" s="291"/>
      <c r="T10" s="291"/>
      <c r="U10" s="291"/>
      <c r="V10" s="291"/>
      <c r="W10" s="291"/>
      <c r="X10" s="292"/>
      <c r="AA10"/>
      <c r="AB10"/>
      <c r="AC10"/>
      <c r="AD10"/>
      <c r="AE10"/>
      <c r="AF10"/>
      <c r="AG10"/>
      <c r="AH10"/>
      <c r="AI10"/>
    </row>
    <row r="11" spans="1:35" x14ac:dyDescent="0.25">
      <c r="A11" s="155" t="s">
        <v>83</v>
      </c>
      <c r="B11" s="214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6"/>
      <c r="P11" s="155">
        <v>6</v>
      </c>
      <c r="Q11" s="290"/>
      <c r="R11" s="291"/>
      <c r="S11" s="291"/>
      <c r="T11" s="291"/>
      <c r="U11" s="291"/>
      <c r="V11" s="291"/>
      <c r="W11" s="291"/>
      <c r="X11" s="292"/>
      <c r="AA11"/>
      <c r="AB11"/>
      <c r="AC11"/>
      <c r="AD11"/>
      <c r="AE11"/>
      <c r="AF11"/>
      <c r="AG11"/>
      <c r="AH11"/>
      <c r="AI11"/>
    </row>
    <row r="12" spans="1:35" x14ac:dyDescent="0.25">
      <c r="A12" s="155" t="s">
        <v>84</v>
      </c>
      <c r="B12" s="214"/>
      <c r="C12" s="215"/>
      <c r="D12" s="215"/>
      <c r="E12" s="215"/>
      <c r="F12" s="215"/>
      <c r="G12" s="215"/>
      <c r="H12" s="215"/>
      <c r="I12" s="215"/>
      <c r="J12" s="215"/>
      <c r="K12" s="215"/>
      <c r="L12" s="215"/>
      <c r="M12" s="216"/>
      <c r="P12" s="155">
        <v>7</v>
      </c>
      <c r="Q12" s="290"/>
      <c r="R12" s="291"/>
      <c r="S12" s="291"/>
      <c r="T12" s="291"/>
      <c r="U12" s="291"/>
      <c r="V12" s="291"/>
      <c r="W12" s="291"/>
      <c r="X12" s="292"/>
      <c r="AA12"/>
      <c r="AB12"/>
      <c r="AC12"/>
      <c r="AD12"/>
      <c r="AE12"/>
      <c r="AF12"/>
      <c r="AG12"/>
      <c r="AH12"/>
      <c r="AI12"/>
    </row>
    <row r="13" spans="1:35" x14ac:dyDescent="0.25">
      <c r="A13" s="155" t="s">
        <v>85</v>
      </c>
      <c r="B13" s="217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9"/>
      <c r="P13" s="155">
        <v>8</v>
      </c>
      <c r="Q13" s="290"/>
      <c r="R13" s="291"/>
      <c r="S13" s="291"/>
      <c r="T13" s="291"/>
      <c r="U13" s="291"/>
      <c r="V13" s="291"/>
      <c r="W13" s="291"/>
      <c r="X13" s="292"/>
      <c r="AA13"/>
      <c r="AB13"/>
      <c r="AC13"/>
      <c r="AD13"/>
      <c r="AE13"/>
      <c r="AF13"/>
      <c r="AG13"/>
      <c r="AH13"/>
      <c r="AI13"/>
    </row>
    <row r="14" spans="1:35" x14ac:dyDescent="0.25">
      <c r="B14" s="157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P14" s="155">
        <v>9</v>
      </c>
      <c r="Q14" s="290"/>
      <c r="R14" s="291"/>
      <c r="S14" s="291"/>
      <c r="T14" s="291"/>
      <c r="U14" s="291"/>
      <c r="V14" s="291"/>
      <c r="W14" s="291"/>
      <c r="X14" s="292"/>
      <c r="AA14"/>
      <c r="AB14"/>
      <c r="AC14"/>
      <c r="AD14"/>
      <c r="AE14"/>
      <c r="AF14"/>
      <c r="AG14"/>
      <c r="AH14"/>
      <c r="AI14"/>
    </row>
    <row r="15" spans="1:35" x14ac:dyDescent="0.25">
      <c r="B15" s="157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O15" s="158"/>
      <c r="P15" s="155">
        <v>10</v>
      </c>
      <c r="Q15" s="290"/>
      <c r="R15" s="291"/>
      <c r="S15" s="291"/>
      <c r="T15" s="291"/>
      <c r="U15" s="291"/>
      <c r="V15" s="291"/>
      <c r="W15" s="291"/>
      <c r="X15" s="292"/>
      <c r="AA15"/>
      <c r="AB15"/>
      <c r="AC15"/>
      <c r="AD15"/>
      <c r="AE15"/>
      <c r="AF15"/>
      <c r="AG15"/>
      <c r="AH15"/>
      <c r="AI15"/>
    </row>
    <row r="16" spans="1:35" x14ac:dyDescent="0.25">
      <c r="A16" s="159"/>
      <c r="B16" s="158"/>
      <c r="C16" s="158"/>
      <c r="D16" s="153"/>
      <c r="E16" s="153"/>
      <c r="F16" s="153"/>
      <c r="G16" s="153"/>
      <c r="H16" s="153"/>
      <c r="I16" s="153"/>
      <c r="J16" s="153"/>
      <c r="K16" s="153"/>
      <c r="L16" s="157"/>
      <c r="M16" s="157"/>
      <c r="O16" s="158"/>
      <c r="P16" s="155">
        <v>11</v>
      </c>
      <c r="Q16" s="290"/>
      <c r="R16" s="291"/>
      <c r="S16" s="291"/>
      <c r="T16" s="291"/>
      <c r="U16" s="291"/>
      <c r="V16" s="291"/>
      <c r="W16" s="291"/>
      <c r="X16" s="292"/>
      <c r="AA16"/>
      <c r="AB16"/>
      <c r="AC16"/>
      <c r="AD16"/>
      <c r="AE16"/>
      <c r="AF16"/>
      <c r="AG16"/>
      <c r="AH16"/>
      <c r="AI16"/>
    </row>
    <row r="17" spans="1:35" x14ac:dyDescent="0.25">
      <c r="A17" s="151" t="s">
        <v>155</v>
      </c>
      <c r="B17" s="158"/>
      <c r="C17" s="158"/>
      <c r="D17" s="153"/>
      <c r="E17" s="153"/>
      <c r="F17" s="153"/>
      <c r="G17" s="153"/>
      <c r="H17" s="153"/>
      <c r="I17" s="153"/>
      <c r="J17" s="153"/>
      <c r="K17" s="153"/>
      <c r="L17" s="160"/>
      <c r="M17" s="160"/>
      <c r="O17" s="158"/>
      <c r="P17" s="155">
        <v>12</v>
      </c>
      <c r="Q17" s="293"/>
      <c r="R17" s="294"/>
      <c r="S17" s="294"/>
      <c r="T17" s="294"/>
      <c r="U17" s="294"/>
      <c r="V17" s="294"/>
      <c r="W17" s="294"/>
      <c r="X17" s="295"/>
      <c r="AA17"/>
      <c r="AB17"/>
      <c r="AC17"/>
      <c r="AD17"/>
      <c r="AE17"/>
      <c r="AF17"/>
      <c r="AG17"/>
      <c r="AH17"/>
      <c r="AI17"/>
    </row>
    <row r="18" spans="1:35" x14ac:dyDescent="0.25">
      <c r="A18" s="152" t="s">
        <v>88</v>
      </c>
      <c r="B18" s="158"/>
      <c r="C18" s="158"/>
      <c r="D18" s="158"/>
      <c r="E18" s="210" t="s">
        <v>123</v>
      </c>
      <c r="F18" s="158"/>
      <c r="G18" s="158"/>
      <c r="H18" s="158"/>
      <c r="I18" s="158"/>
      <c r="J18" s="158"/>
      <c r="K18" s="158"/>
      <c r="L18" s="157"/>
      <c r="M18" s="157"/>
      <c r="O18" s="158"/>
      <c r="P18" s="153"/>
      <c r="Q18" s="158"/>
      <c r="AA18"/>
      <c r="AB18"/>
      <c r="AC18"/>
      <c r="AD18"/>
      <c r="AE18"/>
      <c r="AF18"/>
      <c r="AG18"/>
      <c r="AH18"/>
      <c r="AI18"/>
    </row>
    <row r="19" spans="1:35" x14ac:dyDescent="0.25">
      <c r="B19" s="157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O19" s="158"/>
      <c r="P19" s="153"/>
      <c r="AA19"/>
      <c r="AB19"/>
      <c r="AC19"/>
      <c r="AD19"/>
      <c r="AE19"/>
      <c r="AF19"/>
      <c r="AG19"/>
      <c r="AH19"/>
      <c r="AI19"/>
    </row>
    <row r="20" spans="1:35" ht="15.75" thickBot="1" x14ac:dyDescent="0.3">
      <c r="B20" s="171" t="s">
        <v>90</v>
      </c>
      <c r="C20" s="157"/>
      <c r="D20" s="157"/>
      <c r="E20" s="171" t="s">
        <v>156</v>
      </c>
      <c r="F20" s="157"/>
      <c r="G20" s="157"/>
      <c r="H20" s="157"/>
      <c r="I20" s="157"/>
      <c r="J20" s="157"/>
      <c r="K20" s="157"/>
      <c r="L20" s="157"/>
      <c r="M20" s="157"/>
      <c r="O20" s="158"/>
      <c r="P20" s="433" t="s">
        <v>146</v>
      </c>
      <c r="Q20" s="224"/>
      <c r="R20" s="222"/>
      <c r="S20" s="223" t="s">
        <v>98</v>
      </c>
      <c r="T20" s="221"/>
      <c r="U20" s="221" t="s">
        <v>89</v>
      </c>
      <c r="V20" s="220" t="s">
        <v>96</v>
      </c>
      <c r="AA20"/>
      <c r="AB20"/>
      <c r="AC20"/>
      <c r="AD20"/>
      <c r="AE20"/>
      <c r="AF20"/>
      <c r="AG20"/>
      <c r="AH20"/>
      <c r="AI20"/>
    </row>
    <row r="21" spans="1:35" x14ac:dyDescent="0.25">
      <c r="B21" s="155">
        <v>1</v>
      </c>
      <c r="C21" s="155">
        <v>2</v>
      </c>
      <c r="D21" s="155">
        <v>3</v>
      </c>
      <c r="E21" s="155">
        <v>4</v>
      </c>
      <c r="F21" s="155">
        <v>5</v>
      </c>
      <c r="G21" s="155">
        <v>6</v>
      </c>
      <c r="H21" s="155">
        <v>7</v>
      </c>
      <c r="I21" s="155">
        <v>8</v>
      </c>
      <c r="J21" s="155">
        <v>9</v>
      </c>
      <c r="K21" s="155">
        <v>10</v>
      </c>
      <c r="L21" s="155">
        <v>11</v>
      </c>
      <c r="M21" s="155">
        <v>12</v>
      </c>
      <c r="P21" s="200" t="s">
        <v>86</v>
      </c>
      <c r="Q21" s="569"/>
      <c r="R21" s="570"/>
      <c r="S21" s="570"/>
      <c r="T21" s="571"/>
      <c r="U21" s="201"/>
      <c r="V21" s="202"/>
      <c r="W21" s="158"/>
      <c r="Y21" s="158" t="s">
        <v>132</v>
      </c>
      <c r="AA21"/>
      <c r="AB21"/>
      <c r="AC21"/>
      <c r="AD21"/>
      <c r="AE21"/>
      <c r="AF21"/>
      <c r="AG21"/>
      <c r="AH21"/>
      <c r="AI21"/>
    </row>
    <row r="22" spans="1:35" x14ac:dyDescent="0.25">
      <c r="A22" s="155" t="s">
        <v>78</v>
      </c>
      <c r="B22" s="541"/>
      <c r="C22" s="542"/>
      <c r="D22" s="542"/>
      <c r="E22" s="542"/>
      <c r="F22" s="542"/>
      <c r="G22" s="542"/>
      <c r="H22" s="542"/>
      <c r="I22" s="542"/>
      <c r="J22" s="542"/>
      <c r="K22" s="542"/>
      <c r="L22" s="542"/>
      <c r="M22" s="543"/>
      <c r="P22" s="203" t="s">
        <v>114</v>
      </c>
      <c r="Q22" s="565"/>
      <c r="R22" s="566"/>
      <c r="S22" s="566"/>
      <c r="T22" s="566"/>
      <c r="U22" s="314"/>
      <c r="V22" s="205"/>
      <c r="W22" s="158"/>
      <c r="Y22" s="158"/>
      <c r="AA22"/>
      <c r="AB22"/>
      <c r="AC22"/>
      <c r="AD22"/>
      <c r="AE22"/>
      <c r="AF22"/>
      <c r="AG22"/>
      <c r="AH22"/>
      <c r="AI22"/>
    </row>
    <row r="23" spans="1:35" x14ac:dyDescent="0.25">
      <c r="A23" s="155" t="s">
        <v>79</v>
      </c>
      <c r="B23" s="558"/>
      <c r="C23" s="544"/>
      <c r="D23" s="544"/>
      <c r="E23" s="544"/>
      <c r="F23" s="544"/>
      <c r="G23" s="544"/>
      <c r="H23" s="544"/>
      <c r="I23" s="544"/>
      <c r="J23" s="544"/>
      <c r="K23" s="544"/>
      <c r="L23" s="544"/>
      <c r="M23" s="545"/>
      <c r="O23" s="158"/>
      <c r="P23" s="203" t="s">
        <v>115</v>
      </c>
      <c r="Q23" s="565"/>
      <c r="R23" s="566"/>
      <c r="S23" s="566"/>
      <c r="T23" s="566"/>
      <c r="U23" s="313"/>
      <c r="V23" s="205"/>
      <c r="W23" s="158"/>
      <c r="Y23" s="158"/>
      <c r="AA23"/>
      <c r="AB23"/>
      <c r="AC23"/>
      <c r="AD23"/>
      <c r="AE23"/>
      <c r="AF23"/>
      <c r="AG23"/>
      <c r="AH23"/>
      <c r="AI23"/>
    </row>
    <row r="24" spans="1:35" x14ac:dyDescent="0.25">
      <c r="A24" s="155" t="s">
        <v>80</v>
      </c>
      <c r="B24" s="558"/>
      <c r="C24" s="544"/>
      <c r="D24" s="544"/>
      <c r="E24" s="544"/>
      <c r="F24" s="544"/>
      <c r="G24" s="544"/>
      <c r="H24" s="544"/>
      <c r="I24" s="544"/>
      <c r="J24" s="544"/>
      <c r="K24" s="544"/>
      <c r="L24" s="544"/>
      <c r="M24" s="545"/>
      <c r="O24" s="158"/>
      <c r="P24" s="203" t="s">
        <v>116</v>
      </c>
      <c r="Q24" s="565"/>
      <c r="R24" s="566"/>
      <c r="S24" s="566"/>
      <c r="T24" s="566"/>
      <c r="U24" s="314"/>
      <c r="V24" s="205"/>
      <c r="W24" s="158"/>
      <c r="Y24" s="158"/>
      <c r="AA24"/>
      <c r="AB24"/>
      <c r="AC24"/>
      <c r="AD24"/>
      <c r="AE24"/>
      <c r="AF24"/>
      <c r="AG24"/>
      <c r="AH24"/>
      <c r="AI24"/>
    </row>
    <row r="25" spans="1:35" x14ac:dyDescent="0.25">
      <c r="A25" s="155" t="s">
        <v>81</v>
      </c>
      <c r="B25" s="558"/>
      <c r="C25" s="544"/>
      <c r="D25" s="544"/>
      <c r="E25" s="544"/>
      <c r="F25" s="544"/>
      <c r="G25" s="544"/>
      <c r="H25" s="544"/>
      <c r="I25" s="544"/>
      <c r="J25" s="544"/>
      <c r="K25" s="544"/>
      <c r="L25" s="544"/>
      <c r="M25" s="545"/>
      <c r="O25" s="158"/>
      <c r="P25" s="203" t="s">
        <v>117</v>
      </c>
      <c r="Q25" s="565"/>
      <c r="R25" s="566"/>
      <c r="S25" s="566"/>
      <c r="T25" s="566"/>
      <c r="U25" s="314"/>
      <c r="V25" s="205"/>
      <c r="W25" s="158"/>
      <c r="Y25" s="158"/>
      <c r="AA25"/>
      <c r="AB25"/>
      <c r="AC25"/>
      <c r="AD25"/>
      <c r="AE25"/>
      <c r="AF25"/>
      <c r="AG25"/>
      <c r="AH25"/>
      <c r="AI25"/>
    </row>
    <row r="26" spans="1:35" x14ac:dyDescent="0.25">
      <c r="A26" s="155" t="s">
        <v>82</v>
      </c>
      <c r="B26" s="558"/>
      <c r="C26" s="544"/>
      <c r="D26" s="544"/>
      <c r="E26" s="544"/>
      <c r="F26" s="544"/>
      <c r="G26" s="544"/>
      <c r="H26" s="544"/>
      <c r="I26" s="544"/>
      <c r="J26" s="544"/>
      <c r="K26" s="544"/>
      <c r="L26" s="544"/>
      <c r="M26" s="545"/>
      <c r="O26" s="158"/>
      <c r="P26" s="203" t="s">
        <v>118</v>
      </c>
      <c r="Q26" s="565"/>
      <c r="R26" s="566"/>
      <c r="S26" s="566"/>
      <c r="T26" s="566"/>
      <c r="U26" s="313"/>
      <c r="V26" s="205"/>
      <c r="W26" s="158"/>
      <c r="Y26" s="158"/>
      <c r="AA26"/>
      <c r="AB26"/>
      <c r="AC26"/>
      <c r="AD26"/>
      <c r="AE26"/>
      <c r="AF26"/>
      <c r="AG26"/>
      <c r="AH26"/>
      <c r="AI26"/>
    </row>
    <row r="27" spans="1:35" x14ac:dyDescent="0.25">
      <c r="A27" s="155" t="s">
        <v>83</v>
      </c>
      <c r="B27" s="558"/>
      <c r="C27" s="544"/>
      <c r="D27" s="544"/>
      <c r="E27" s="544"/>
      <c r="F27" s="544"/>
      <c r="G27" s="544"/>
      <c r="H27" s="544"/>
      <c r="I27" s="544"/>
      <c r="J27" s="544"/>
      <c r="K27" s="544"/>
      <c r="L27" s="544"/>
      <c r="M27" s="545"/>
      <c r="P27" s="203" t="s">
        <v>119</v>
      </c>
      <c r="Q27" s="565"/>
      <c r="R27" s="566"/>
      <c r="S27" s="566"/>
      <c r="T27" s="566"/>
      <c r="U27" s="313"/>
      <c r="V27" s="205"/>
      <c r="W27" s="158"/>
      <c r="Y27" s="158"/>
      <c r="AA27"/>
      <c r="AB27"/>
      <c r="AC27"/>
      <c r="AD27"/>
      <c r="AE27"/>
      <c r="AF27"/>
      <c r="AG27"/>
      <c r="AH27"/>
      <c r="AI27"/>
    </row>
    <row r="28" spans="1:35" x14ac:dyDescent="0.25">
      <c r="A28" s="155" t="s">
        <v>84</v>
      </c>
      <c r="B28" s="558"/>
      <c r="C28" s="544"/>
      <c r="D28" s="544"/>
      <c r="E28" s="544"/>
      <c r="F28" s="544"/>
      <c r="G28" s="544"/>
      <c r="H28" s="544"/>
      <c r="I28" s="544"/>
      <c r="J28" s="544"/>
      <c r="K28" s="544"/>
      <c r="L28" s="544"/>
      <c r="M28" s="545"/>
      <c r="P28" s="203" t="s">
        <v>120</v>
      </c>
      <c r="Q28" s="565"/>
      <c r="R28" s="566"/>
      <c r="S28" s="566"/>
      <c r="T28" s="566"/>
      <c r="U28" s="313"/>
      <c r="V28" s="205"/>
      <c r="W28" s="158"/>
      <c r="Y28" s="158"/>
      <c r="AA28"/>
      <c r="AB28"/>
      <c r="AC28"/>
      <c r="AD28"/>
      <c r="AE28"/>
      <c r="AF28"/>
      <c r="AG28"/>
      <c r="AH28"/>
      <c r="AI28"/>
    </row>
    <row r="29" spans="1:35" x14ac:dyDescent="0.25">
      <c r="A29" s="155" t="s">
        <v>85</v>
      </c>
      <c r="B29" s="546"/>
      <c r="C29" s="547"/>
      <c r="D29" s="547"/>
      <c r="E29" s="547"/>
      <c r="F29" s="547"/>
      <c r="G29" s="547"/>
      <c r="H29" s="547"/>
      <c r="I29" s="547"/>
      <c r="J29" s="547"/>
      <c r="K29" s="547"/>
      <c r="L29" s="547"/>
      <c r="M29" s="548"/>
      <c r="P29" s="203" t="s">
        <v>121</v>
      </c>
      <c r="Q29" s="565"/>
      <c r="R29" s="566"/>
      <c r="S29" s="566"/>
      <c r="T29" s="566"/>
      <c r="U29" s="315"/>
      <c r="V29" s="205"/>
      <c r="W29" s="158"/>
      <c r="Y29" s="158"/>
      <c r="AA29"/>
      <c r="AB29"/>
      <c r="AC29"/>
      <c r="AD29"/>
      <c r="AE29"/>
      <c r="AF29"/>
      <c r="AG29"/>
      <c r="AH29"/>
      <c r="AI29"/>
    </row>
    <row r="30" spans="1:35" x14ac:dyDescent="0.25">
      <c r="B30" s="157"/>
      <c r="C30" s="157"/>
      <c r="D30" s="157"/>
      <c r="E30" s="157"/>
      <c r="F30" s="157"/>
      <c r="G30" s="157"/>
      <c r="H30" s="157"/>
      <c r="I30" s="157"/>
      <c r="J30" s="157"/>
      <c r="K30" s="157"/>
      <c r="L30" s="157"/>
      <c r="M30" s="157"/>
      <c r="P30" s="203" t="s">
        <v>122</v>
      </c>
      <c r="Q30" s="565"/>
      <c r="R30" s="566"/>
      <c r="S30" s="566"/>
      <c r="T30" s="566"/>
      <c r="U30" s="315"/>
      <c r="V30" s="205"/>
      <c r="W30" s="158"/>
      <c r="Y30" s="158"/>
      <c r="AA30"/>
      <c r="AB30"/>
      <c r="AC30"/>
      <c r="AD30"/>
      <c r="AE30"/>
      <c r="AF30"/>
      <c r="AG30"/>
      <c r="AH30"/>
      <c r="AI30"/>
    </row>
    <row r="31" spans="1:35" x14ac:dyDescent="0.25">
      <c r="B31" s="157"/>
      <c r="C31" s="157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P31" s="203" t="s">
        <v>92</v>
      </c>
      <c r="Q31" s="565"/>
      <c r="R31" s="566"/>
      <c r="S31" s="566"/>
      <c r="T31" s="566"/>
      <c r="U31" s="315"/>
      <c r="V31" s="205"/>
      <c r="AA31"/>
      <c r="AB31"/>
      <c r="AC31"/>
      <c r="AD31"/>
      <c r="AE31"/>
      <c r="AF31"/>
      <c r="AG31"/>
      <c r="AH31"/>
      <c r="AI31"/>
    </row>
    <row r="32" spans="1:35" x14ac:dyDescent="0.25">
      <c r="B32" s="157"/>
      <c r="C32" s="157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P32" s="203" t="s">
        <v>93</v>
      </c>
      <c r="Q32" s="565"/>
      <c r="R32" s="566"/>
      <c r="S32" s="566"/>
      <c r="T32" s="566"/>
      <c r="U32" s="315"/>
      <c r="V32" s="205"/>
      <c r="W32" s="158"/>
      <c r="Y32" s="158"/>
      <c r="AA32"/>
      <c r="AB32"/>
      <c r="AC32"/>
      <c r="AD32"/>
      <c r="AE32"/>
      <c r="AF32"/>
      <c r="AG32"/>
      <c r="AH32"/>
      <c r="AI32"/>
    </row>
    <row r="33" spans="1:35" x14ac:dyDescent="0.25">
      <c r="A33" s="151" t="s">
        <v>110</v>
      </c>
      <c r="B33" s="157"/>
      <c r="C33" s="157"/>
      <c r="D33" s="157"/>
      <c r="E33" s="157"/>
      <c r="F33" s="157"/>
      <c r="G33" s="157"/>
      <c r="H33" s="157"/>
      <c r="I33" s="157"/>
      <c r="J33" s="157"/>
      <c r="K33" s="157"/>
      <c r="L33" s="157"/>
      <c r="M33" s="157"/>
      <c r="P33" s="203" t="s">
        <v>94</v>
      </c>
      <c r="Q33" s="565"/>
      <c r="R33" s="566"/>
      <c r="S33" s="566"/>
      <c r="T33" s="566"/>
      <c r="U33" s="315"/>
      <c r="V33" s="205"/>
      <c r="W33" s="158"/>
      <c r="Y33" s="158"/>
      <c r="AA33"/>
      <c r="AB33"/>
      <c r="AC33"/>
      <c r="AD33"/>
      <c r="AE33"/>
      <c r="AF33"/>
      <c r="AG33"/>
      <c r="AH33"/>
      <c r="AI33"/>
    </row>
    <row r="34" spans="1:35" ht="15.75" thickBot="1" x14ac:dyDescent="0.3">
      <c r="A34" s="152" t="s">
        <v>76</v>
      </c>
      <c r="B34" s="157"/>
      <c r="C34" s="157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P34" s="207" t="s">
        <v>95</v>
      </c>
      <c r="Q34" s="567"/>
      <c r="R34" s="568"/>
      <c r="S34" s="568"/>
      <c r="T34" s="568"/>
      <c r="U34" s="316"/>
      <c r="V34" s="209"/>
      <c r="W34" s="158"/>
      <c r="Y34" s="158"/>
      <c r="AA34"/>
      <c r="AB34"/>
      <c r="AC34"/>
      <c r="AD34"/>
      <c r="AE34"/>
      <c r="AF34"/>
      <c r="AG34"/>
      <c r="AH34"/>
      <c r="AI34"/>
    </row>
    <row r="35" spans="1:35" ht="15.75" thickBot="1" x14ac:dyDescent="0.3">
      <c r="B35" s="155">
        <v>1</v>
      </c>
      <c r="C35" s="155">
        <v>2</v>
      </c>
      <c r="D35" s="155">
        <v>3</v>
      </c>
      <c r="E35" s="155">
        <v>4</v>
      </c>
      <c r="F35" s="155">
        <v>5</v>
      </c>
      <c r="G35" s="155">
        <v>6</v>
      </c>
      <c r="H35" s="155">
        <v>7</v>
      </c>
      <c r="I35" s="155">
        <v>8</v>
      </c>
      <c r="J35" s="155">
        <v>9</v>
      </c>
      <c r="K35" s="155">
        <v>10</v>
      </c>
      <c r="L35" s="155">
        <v>11</v>
      </c>
      <c r="M35" s="155">
        <v>12</v>
      </c>
      <c r="Q35" s="158"/>
      <c r="R35" s="158"/>
      <c r="S35" s="158"/>
      <c r="T35" s="158"/>
      <c r="U35" s="158"/>
      <c r="V35" s="158"/>
      <c r="W35" s="158"/>
      <c r="Y35" s="158"/>
      <c r="AA35"/>
      <c r="AB35"/>
      <c r="AC35"/>
      <c r="AD35"/>
      <c r="AE35"/>
      <c r="AF35"/>
      <c r="AG35"/>
      <c r="AH35"/>
      <c r="AI35"/>
    </row>
    <row r="36" spans="1:35" x14ac:dyDescent="0.25">
      <c r="A36" s="155" t="s">
        <v>78</v>
      </c>
      <c r="B36" s="562"/>
      <c r="C36" s="457"/>
      <c r="D36" s="457"/>
      <c r="E36" s="457"/>
      <c r="F36" s="457"/>
      <c r="G36" s="457"/>
      <c r="H36" s="457"/>
      <c r="I36" s="457"/>
      <c r="J36" s="457"/>
      <c r="K36" s="457"/>
      <c r="L36" s="457"/>
      <c r="M36" s="559"/>
      <c r="P36" s="176" t="s">
        <v>55</v>
      </c>
      <c r="Q36" s="572">
        <f ca="1">TODAY()</f>
        <v>43448</v>
      </c>
      <c r="R36" s="572"/>
      <c r="S36" s="572"/>
      <c r="T36" s="572"/>
      <c r="U36" s="572"/>
      <c r="V36" s="573"/>
      <c r="W36" s="158"/>
      <c r="Y36" s="158" t="s">
        <v>99</v>
      </c>
      <c r="AA36"/>
      <c r="AB36"/>
      <c r="AC36"/>
      <c r="AD36"/>
      <c r="AE36"/>
      <c r="AF36"/>
      <c r="AG36"/>
      <c r="AH36"/>
      <c r="AI36"/>
    </row>
    <row r="37" spans="1:35" x14ac:dyDescent="0.25">
      <c r="A37" s="155" t="s">
        <v>79</v>
      </c>
      <c r="B37" s="458"/>
      <c r="C37" s="459"/>
      <c r="D37" s="459"/>
      <c r="E37" s="459"/>
      <c r="F37" s="459"/>
      <c r="G37" s="459"/>
      <c r="H37" s="459"/>
      <c r="I37" s="459"/>
      <c r="J37" s="459"/>
      <c r="K37" s="459"/>
      <c r="L37" s="459"/>
      <c r="M37" s="560"/>
      <c r="P37" s="574" t="s">
        <v>101</v>
      </c>
      <c r="Q37" s="575"/>
      <c r="R37" s="576"/>
      <c r="S37" s="577" t="s">
        <v>103</v>
      </c>
      <c r="T37" s="578"/>
      <c r="U37" s="578"/>
      <c r="V37" s="579"/>
      <c r="W37" s="158"/>
      <c r="Y37" s="158" t="s">
        <v>111</v>
      </c>
      <c r="AA37"/>
      <c r="AB37"/>
      <c r="AC37"/>
      <c r="AD37"/>
      <c r="AE37"/>
      <c r="AF37"/>
      <c r="AG37"/>
      <c r="AH37"/>
      <c r="AI37"/>
    </row>
    <row r="38" spans="1:35" x14ac:dyDescent="0.25">
      <c r="A38" s="155" t="s">
        <v>80</v>
      </c>
      <c r="B38" s="458"/>
      <c r="C38" s="459"/>
      <c r="D38" s="459"/>
      <c r="E38" s="459"/>
      <c r="F38" s="459"/>
      <c r="G38" s="459"/>
      <c r="H38" s="459"/>
      <c r="I38" s="459"/>
      <c r="J38" s="459"/>
      <c r="K38" s="459"/>
      <c r="L38" s="459"/>
      <c r="M38" s="560"/>
      <c r="P38" s="580" t="s">
        <v>102</v>
      </c>
      <c r="Q38" s="581"/>
      <c r="R38" s="582"/>
      <c r="S38" s="583" t="s">
        <v>103</v>
      </c>
      <c r="T38" s="584"/>
      <c r="U38" s="584"/>
      <c r="V38" s="585"/>
      <c r="W38" s="158"/>
      <c r="Y38" s="158" t="s">
        <v>112</v>
      </c>
      <c r="AA38"/>
      <c r="AB38"/>
      <c r="AC38"/>
      <c r="AD38"/>
      <c r="AE38"/>
      <c r="AF38"/>
      <c r="AG38"/>
      <c r="AH38"/>
      <c r="AI38"/>
    </row>
    <row r="39" spans="1:35" x14ac:dyDescent="0.25">
      <c r="A39" s="155" t="s">
        <v>81</v>
      </c>
      <c r="B39" s="458"/>
      <c r="C39" s="459"/>
      <c r="D39" s="459"/>
      <c r="E39" s="459"/>
      <c r="F39" s="459"/>
      <c r="G39" s="459"/>
      <c r="H39" s="459"/>
      <c r="I39" s="459"/>
      <c r="J39" s="459"/>
      <c r="K39" s="459"/>
      <c r="L39" s="459"/>
      <c r="M39" s="560"/>
      <c r="N39" s="194"/>
      <c r="O39" s="194"/>
      <c r="P39" s="194"/>
      <c r="Q39" s="195"/>
      <c r="R39" s="195"/>
      <c r="S39" s="195"/>
      <c r="T39" s="195"/>
      <c r="U39" s="195"/>
      <c r="V39" s="195"/>
      <c r="W39" s="195"/>
      <c r="X39" s="195"/>
      <c r="Y39" s="194"/>
      <c r="Z39" s="196"/>
      <c r="AA39"/>
      <c r="AB39"/>
      <c r="AC39"/>
      <c r="AD39"/>
      <c r="AE39"/>
      <c r="AF39"/>
      <c r="AG39"/>
      <c r="AH39"/>
      <c r="AI39"/>
    </row>
    <row r="40" spans="1:35" x14ac:dyDescent="0.25">
      <c r="A40" s="155" t="s">
        <v>82</v>
      </c>
      <c r="B40" s="458"/>
      <c r="C40" s="459"/>
      <c r="D40" s="459"/>
      <c r="E40" s="459"/>
      <c r="F40" s="459"/>
      <c r="G40" s="459"/>
      <c r="H40" s="459"/>
      <c r="I40" s="459"/>
      <c r="J40" s="459"/>
      <c r="K40" s="459"/>
      <c r="L40" s="459"/>
      <c r="M40" s="560"/>
      <c r="N40" s="194"/>
      <c r="O40" s="194"/>
      <c r="P40" s="193"/>
      <c r="Q40" s="195"/>
      <c r="R40" s="195"/>
      <c r="S40" s="195"/>
      <c r="T40" s="195"/>
      <c r="U40" s="195"/>
      <c r="V40" s="195"/>
      <c r="W40" s="195"/>
      <c r="X40" s="195"/>
      <c r="Y40" s="194"/>
      <c r="Z40" s="196"/>
      <c r="AA40"/>
      <c r="AB40"/>
      <c r="AC40"/>
      <c r="AD40"/>
      <c r="AE40"/>
      <c r="AF40"/>
      <c r="AG40"/>
      <c r="AH40"/>
      <c r="AI40"/>
    </row>
    <row r="41" spans="1:35" x14ac:dyDescent="0.25">
      <c r="A41" s="155" t="s">
        <v>83</v>
      </c>
      <c r="B41" s="458"/>
      <c r="C41" s="459"/>
      <c r="D41" s="459"/>
      <c r="E41" s="459"/>
      <c r="F41" s="459"/>
      <c r="G41" s="459"/>
      <c r="H41" s="459"/>
      <c r="I41" s="459"/>
      <c r="J41" s="459"/>
      <c r="K41" s="459"/>
      <c r="L41" s="459"/>
      <c r="M41" s="560"/>
      <c r="N41" s="194"/>
      <c r="O41" s="194"/>
      <c r="P41" s="194"/>
      <c r="Q41" s="195"/>
      <c r="R41" s="195"/>
      <c r="S41" s="195"/>
      <c r="T41" s="195"/>
      <c r="U41" s="195"/>
      <c r="V41" s="195"/>
      <c r="W41" s="195"/>
      <c r="X41" s="195"/>
      <c r="Y41" s="194"/>
      <c r="Z41" s="196"/>
      <c r="AA41"/>
      <c r="AB41"/>
      <c r="AC41"/>
      <c r="AD41"/>
      <c r="AE41"/>
      <c r="AF41"/>
      <c r="AG41"/>
      <c r="AH41"/>
      <c r="AI41"/>
    </row>
    <row r="42" spans="1:35" x14ac:dyDescent="0.25">
      <c r="A42" s="155" t="s">
        <v>84</v>
      </c>
      <c r="B42" s="458"/>
      <c r="C42" s="459"/>
      <c r="D42" s="459"/>
      <c r="E42" s="459"/>
      <c r="F42" s="459"/>
      <c r="G42" s="459"/>
      <c r="H42" s="459"/>
      <c r="I42" s="459"/>
      <c r="J42" s="459"/>
      <c r="K42" s="459"/>
      <c r="L42" s="459"/>
      <c r="M42" s="560"/>
      <c r="N42" s="194"/>
      <c r="O42" s="194"/>
      <c r="P42" s="194"/>
      <c r="Q42" s="195"/>
      <c r="R42" s="195"/>
      <c r="S42" s="195"/>
      <c r="T42" s="195"/>
      <c r="U42" s="195"/>
      <c r="V42" s="195"/>
      <c r="W42" s="195"/>
      <c r="X42" s="195"/>
      <c r="Y42" s="194"/>
      <c r="Z42" s="196"/>
      <c r="AA42"/>
      <c r="AB42"/>
      <c r="AC42"/>
      <c r="AD42"/>
      <c r="AE42"/>
      <c r="AF42"/>
      <c r="AG42"/>
      <c r="AH42"/>
      <c r="AI42"/>
    </row>
    <row r="43" spans="1:35" x14ac:dyDescent="0.25">
      <c r="A43" s="155" t="s">
        <v>85</v>
      </c>
      <c r="B43" s="460"/>
      <c r="C43" s="461"/>
      <c r="D43" s="461"/>
      <c r="E43" s="461"/>
      <c r="F43" s="461"/>
      <c r="G43" s="461"/>
      <c r="H43" s="461"/>
      <c r="I43" s="461"/>
      <c r="J43" s="461"/>
      <c r="K43" s="461"/>
      <c r="L43" s="461"/>
      <c r="M43" s="561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6"/>
      <c r="AA43"/>
      <c r="AB43"/>
      <c r="AC43"/>
      <c r="AD43"/>
      <c r="AE43"/>
      <c r="AF43"/>
      <c r="AG43"/>
      <c r="AH43"/>
      <c r="AI43"/>
    </row>
    <row r="44" spans="1:35" x14ac:dyDescent="0.25"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6"/>
      <c r="AA44"/>
      <c r="AB44"/>
      <c r="AC44"/>
      <c r="AD44"/>
      <c r="AE44"/>
      <c r="AF44"/>
      <c r="AG44"/>
      <c r="AH44"/>
      <c r="AI44"/>
    </row>
    <row r="45" spans="1:35" x14ac:dyDescent="0.25"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6"/>
      <c r="AA45"/>
      <c r="AB45"/>
      <c r="AC45"/>
      <c r="AD45"/>
      <c r="AE45"/>
      <c r="AF45"/>
      <c r="AG45"/>
      <c r="AH45"/>
      <c r="AI45"/>
    </row>
    <row r="46" spans="1:35" x14ac:dyDescent="0.25">
      <c r="A46" s="152" t="s">
        <v>154</v>
      </c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6"/>
      <c r="AA46"/>
      <c r="AB46"/>
      <c r="AC46"/>
      <c r="AD46"/>
      <c r="AE46"/>
      <c r="AF46"/>
      <c r="AG46"/>
      <c r="AH46"/>
      <c r="AI46"/>
    </row>
    <row r="47" spans="1:35" x14ac:dyDescent="0.25">
      <c r="B47" s="155">
        <v>1</v>
      </c>
      <c r="C47" s="155">
        <v>2</v>
      </c>
      <c r="D47" s="155">
        <v>3</v>
      </c>
      <c r="E47" s="155">
        <v>4</v>
      </c>
      <c r="F47" s="155">
        <v>5</v>
      </c>
      <c r="G47" s="155">
        <v>6</v>
      </c>
      <c r="H47" s="155">
        <v>7</v>
      </c>
      <c r="I47" s="155">
        <v>8</v>
      </c>
      <c r="J47" s="155">
        <v>9</v>
      </c>
      <c r="K47" s="155">
        <v>10</v>
      </c>
      <c r="L47" s="155">
        <v>11</v>
      </c>
      <c r="M47" s="155">
        <v>12</v>
      </c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6"/>
      <c r="AA47"/>
      <c r="AB47"/>
      <c r="AC47"/>
      <c r="AD47"/>
      <c r="AE47"/>
      <c r="AF47"/>
      <c r="AG47"/>
      <c r="AH47"/>
      <c r="AI47"/>
    </row>
    <row r="48" spans="1:35" x14ac:dyDescent="0.25">
      <c r="A48" s="155" t="s">
        <v>78</v>
      </c>
      <c r="B48" s="317"/>
      <c r="C48" s="318"/>
      <c r="D48" s="318"/>
      <c r="E48" s="318"/>
      <c r="F48" s="318"/>
      <c r="G48" s="318"/>
      <c r="H48" s="318"/>
      <c r="I48" s="318"/>
      <c r="J48" s="318"/>
      <c r="K48" s="318"/>
      <c r="L48" s="318"/>
      <c r="M48" s="319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6"/>
      <c r="AA48"/>
      <c r="AB48"/>
      <c r="AC48"/>
      <c r="AD48"/>
      <c r="AE48"/>
      <c r="AF48"/>
      <c r="AG48"/>
      <c r="AH48"/>
      <c r="AI48"/>
    </row>
    <row r="49" spans="1:35" x14ac:dyDescent="0.25">
      <c r="A49" s="155" t="s">
        <v>79</v>
      </c>
      <c r="B49" s="320"/>
      <c r="C49" s="321"/>
      <c r="D49" s="321"/>
      <c r="E49" s="321"/>
      <c r="F49" s="321"/>
      <c r="G49" s="321"/>
      <c r="H49" s="321"/>
      <c r="I49" s="321"/>
      <c r="J49" s="321"/>
      <c r="K49" s="321"/>
      <c r="L49" s="321"/>
      <c r="M49" s="322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6"/>
      <c r="AA49"/>
      <c r="AB49"/>
      <c r="AC49"/>
      <c r="AD49"/>
      <c r="AE49"/>
      <c r="AF49"/>
      <c r="AG49"/>
      <c r="AH49"/>
      <c r="AI49"/>
    </row>
    <row r="50" spans="1:35" x14ac:dyDescent="0.25">
      <c r="A50" s="155" t="s">
        <v>80</v>
      </c>
      <c r="B50" s="320"/>
      <c r="C50" s="321"/>
      <c r="D50" s="321"/>
      <c r="E50" s="321"/>
      <c r="F50" s="321"/>
      <c r="G50" s="321"/>
      <c r="H50" s="321"/>
      <c r="I50" s="321"/>
      <c r="J50" s="321"/>
      <c r="K50" s="321"/>
      <c r="L50" s="321"/>
      <c r="M50" s="322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6"/>
      <c r="AA50"/>
      <c r="AB50"/>
      <c r="AC50"/>
      <c r="AD50"/>
      <c r="AE50"/>
      <c r="AF50"/>
      <c r="AG50"/>
      <c r="AH50"/>
      <c r="AI50"/>
    </row>
    <row r="51" spans="1:35" x14ac:dyDescent="0.25">
      <c r="A51" s="155" t="s">
        <v>81</v>
      </c>
      <c r="B51" s="320"/>
      <c r="C51" s="321"/>
      <c r="D51" s="321"/>
      <c r="E51" s="321"/>
      <c r="F51" s="321"/>
      <c r="G51" s="321"/>
      <c r="H51" s="321"/>
      <c r="I51" s="321"/>
      <c r="J51" s="321"/>
      <c r="K51" s="321"/>
      <c r="L51" s="321"/>
      <c r="M51" s="322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6"/>
      <c r="AA51"/>
      <c r="AB51"/>
      <c r="AC51"/>
      <c r="AD51"/>
      <c r="AE51"/>
      <c r="AF51"/>
      <c r="AG51"/>
      <c r="AH51"/>
      <c r="AI51"/>
    </row>
    <row r="52" spans="1:35" x14ac:dyDescent="0.25">
      <c r="A52" s="155" t="s">
        <v>82</v>
      </c>
      <c r="B52" s="320"/>
      <c r="C52" s="321"/>
      <c r="D52" s="321"/>
      <c r="E52" s="321"/>
      <c r="F52" s="321"/>
      <c r="G52" s="321"/>
      <c r="H52" s="321"/>
      <c r="I52" s="321"/>
      <c r="J52" s="321"/>
      <c r="K52" s="321"/>
      <c r="L52" s="321"/>
      <c r="M52" s="322"/>
      <c r="N52" s="194"/>
      <c r="O52" s="194"/>
      <c r="P52" s="194"/>
      <c r="Q52" s="194"/>
      <c r="R52" s="194"/>
      <c r="S52" s="194"/>
      <c r="T52" s="194"/>
      <c r="U52" s="194"/>
      <c r="V52" s="194"/>
      <c r="W52" s="194"/>
      <c r="X52" s="194"/>
      <c r="Y52" s="194"/>
      <c r="Z52" s="196"/>
      <c r="AA52"/>
      <c r="AB52"/>
      <c r="AC52"/>
      <c r="AD52"/>
      <c r="AE52"/>
      <c r="AF52"/>
      <c r="AG52"/>
      <c r="AH52"/>
      <c r="AI52"/>
    </row>
    <row r="53" spans="1:35" x14ac:dyDescent="0.25">
      <c r="A53" s="155" t="s">
        <v>83</v>
      </c>
      <c r="B53" s="320"/>
      <c r="C53" s="321"/>
      <c r="D53" s="321"/>
      <c r="E53" s="321"/>
      <c r="F53" s="321"/>
      <c r="G53" s="321"/>
      <c r="H53" s="321"/>
      <c r="I53" s="321"/>
      <c r="J53" s="321"/>
      <c r="K53" s="321"/>
      <c r="L53" s="321"/>
      <c r="M53" s="322"/>
      <c r="N53" s="194"/>
      <c r="O53" s="194"/>
      <c r="P53" s="194"/>
      <c r="Q53" s="194"/>
      <c r="R53" s="194"/>
      <c r="S53" s="194"/>
      <c r="T53" s="194"/>
      <c r="U53" s="194"/>
      <c r="V53" s="194"/>
      <c r="W53" s="194"/>
      <c r="X53" s="194"/>
      <c r="Y53" s="194"/>
      <c r="Z53" s="196"/>
      <c r="AA53"/>
      <c r="AB53"/>
      <c r="AC53"/>
      <c r="AD53"/>
      <c r="AE53"/>
      <c r="AF53"/>
      <c r="AG53"/>
      <c r="AH53"/>
      <c r="AI53"/>
    </row>
    <row r="54" spans="1:35" x14ac:dyDescent="0.25">
      <c r="A54" s="155" t="s">
        <v>84</v>
      </c>
      <c r="B54" s="320"/>
      <c r="C54" s="321"/>
      <c r="D54" s="321"/>
      <c r="E54" s="321"/>
      <c r="F54" s="321"/>
      <c r="G54" s="321"/>
      <c r="H54" s="321"/>
      <c r="I54" s="321"/>
      <c r="J54" s="321"/>
      <c r="K54" s="321"/>
      <c r="L54" s="321"/>
      <c r="M54" s="322"/>
      <c r="N54" s="194"/>
      <c r="O54" s="194"/>
      <c r="P54" s="194"/>
      <c r="Q54" s="194"/>
      <c r="R54" s="194"/>
      <c r="S54" s="194"/>
      <c r="T54" s="194"/>
      <c r="U54" s="194"/>
      <c r="V54" s="194"/>
      <c r="W54" s="194"/>
      <c r="X54" s="194"/>
      <c r="Y54" s="194"/>
      <c r="Z54" s="196"/>
      <c r="AA54"/>
      <c r="AB54"/>
      <c r="AC54"/>
      <c r="AD54"/>
      <c r="AE54"/>
      <c r="AF54"/>
      <c r="AG54"/>
      <c r="AH54"/>
      <c r="AI54"/>
    </row>
    <row r="55" spans="1:35" x14ac:dyDescent="0.25">
      <c r="A55" s="155" t="s">
        <v>85</v>
      </c>
      <c r="B55" s="323"/>
      <c r="C55" s="324"/>
      <c r="D55" s="324"/>
      <c r="E55" s="324"/>
      <c r="F55" s="324"/>
      <c r="G55" s="324"/>
      <c r="H55" s="324"/>
      <c r="I55" s="324"/>
      <c r="J55" s="324"/>
      <c r="K55" s="324"/>
      <c r="L55" s="324"/>
      <c r="M55" s="325"/>
      <c r="N55" s="194"/>
      <c r="O55" s="194"/>
      <c r="P55" s="194"/>
      <c r="Q55" s="194"/>
      <c r="R55" s="194"/>
      <c r="S55" s="194"/>
      <c r="T55" s="194"/>
      <c r="U55" s="194"/>
      <c r="V55" s="194"/>
      <c r="W55" s="194"/>
      <c r="X55" s="194"/>
      <c r="Y55" s="194"/>
      <c r="Z55" s="196"/>
      <c r="AA55"/>
      <c r="AB55"/>
      <c r="AC55"/>
      <c r="AD55"/>
      <c r="AE55"/>
      <c r="AF55"/>
      <c r="AG55"/>
      <c r="AH55"/>
      <c r="AI55"/>
    </row>
    <row r="56" spans="1:35" x14ac:dyDescent="0.25">
      <c r="N56" s="194"/>
      <c r="O56" s="194"/>
      <c r="P56" s="194"/>
      <c r="Q56" s="194"/>
      <c r="R56" s="194"/>
      <c r="S56" s="194"/>
      <c r="T56" s="194"/>
      <c r="U56" s="194"/>
      <c r="V56" s="194"/>
      <c r="W56" s="194"/>
      <c r="X56" s="194"/>
      <c r="Y56" s="194"/>
      <c r="Z56" s="196"/>
      <c r="AA56"/>
      <c r="AB56"/>
      <c r="AC56"/>
      <c r="AD56"/>
      <c r="AE56"/>
      <c r="AF56"/>
      <c r="AG56"/>
      <c r="AH56"/>
      <c r="AI56"/>
    </row>
    <row r="57" spans="1:35" x14ac:dyDescent="0.25">
      <c r="N57" s="194"/>
      <c r="O57" s="194"/>
      <c r="P57" s="194"/>
      <c r="Q57" s="194"/>
      <c r="R57" s="194"/>
      <c r="S57" s="194"/>
      <c r="T57" s="194"/>
      <c r="U57" s="194"/>
      <c r="V57" s="194"/>
      <c r="W57" s="194"/>
      <c r="X57" s="194"/>
      <c r="Y57" s="194"/>
      <c r="Z57" s="196"/>
      <c r="AA57"/>
      <c r="AB57"/>
      <c r="AC57"/>
      <c r="AD57"/>
      <c r="AE57"/>
      <c r="AF57"/>
      <c r="AG57"/>
      <c r="AH57"/>
      <c r="AI57"/>
    </row>
    <row r="58" spans="1:35" x14ac:dyDescent="0.25">
      <c r="B58" s="151" t="s">
        <v>77</v>
      </c>
      <c r="N58" s="194"/>
      <c r="O58" s="194"/>
      <c r="P58" s="194"/>
      <c r="Q58" s="194"/>
      <c r="R58" s="194"/>
      <c r="S58" s="194"/>
      <c r="T58" s="194"/>
      <c r="U58" s="194"/>
      <c r="V58" s="194"/>
      <c r="W58" s="194"/>
      <c r="X58" s="194"/>
      <c r="Y58" s="194"/>
      <c r="Z58" s="196"/>
      <c r="AA58"/>
      <c r="AB58"/>
      <c r="AC58"/>
      <c r="AD58"/>
      <c r="AE58"/>
      <c r="AF58"/>
      <c r="AG58"/>
      <c r="AH58"/>
      <c r="AI58"/>
    </row>
    <row r="59" spans="1:35" x14ac:dyDescent="0.25">
      <c r="N59" s="194"/>
      <c r="O59" s="194"/>
      <c r="P59" s="194"/>
      <c r="Q59" s="194"/>
      <c r="R59" s="194"/>
      <c r="S59" s="194"/>
      <c r="T59" s="194"/>
      <c r="U59" s="194"/>
      <c r="V59" s="194"/>
      <c r="W59" s="194"/>
      <c r="X59" s="194"/>
      <c r="Y59" s="194"/>
      <c r="Z59" s="196"/>
      <c r="AA59"/>
      <c r="AB59"/>
      <c r="AC59"/>
      <c r="AD59"/>
      <c r="AE59"/>
      <c r="AF59"/>
      <c r="AG59"/>
      <c r="AH59"/>
      <c r="AI59"/>
    </row>
    <row r="60" spans="1:35" x14ac:dyDescent="0.25">
      <c r="N60" s="194"/>
      <c r="O60" s="194"/>
      <c r="P60" s="194"/>
      <c r="Q60" s="194"/>
      <c r="R60" s="194"/>
      <c r="S60" s="194"/>
      <c r="T60" s="194"/>
      <c r="U60" s="194"/>
      <c r="V60" s="194"/>
      <c r="W60" s="194"/>
      <c r="X60" s="194"/>
      <c r="Y60" s="194"/>
      <c r="Z60" s="196"/>
      <c r="AA60"/>
      <c r="AB60"/>
      <c r="AC60"/>
      <c r="AD60"/>
      <c r="AE60"/>
      <c r="AF60"/>
      <c r="AG60"/>
      <c r="AH60"/>
      <c r="AI60"/>
    </row>
    <row r="61" spans="1:35" ht="15" customHeight="1" x14ac:dyDescent="0.25">
      <c r="A61" s="161"/>
      <c r="B61" s="154">
        <v>1</v>
      </c>
      <c r="C61" s="154">
        <v>2</v>
      </c>
      <c r="D61" s="154">
        <v>3</v>
      </c>
      <c r="E61" s="154">
        <v>4</v>
      </c>
      <c r="F61" s="154">
        <v>5</v>
      </c>
      <c r="G61" s="154">
        <v>6</v>
      </c>
      <c r="H61" s="154">
        <v>7</v>
      </c>
      <c r="I61" s="154">
        <v>8</v>
      </c>
      <c r="J61" s="154">
        <v>9</v>
      </c>
      <c r="K61" s="154">
        <v>10</v>
      </c>
      <c r="L61" s="154">
        <v>11</v>
      </c>
      <c r="M61" s="154">
        <v>12</v>
      </c>
      <c r="N61" s="194"/>
      <c r="O61" s="194"/>
      <c r="P61" s="194"/>
      <c r="Q61" s="194"/>
      <c r="R61" s="194"/>
      <c r="S61" s="194"/>
      <c r="T61" s="194"/>
      <c r="U61" s="194"/>
      <c r="V61" s="194"/>
      <c r="W61" s="194"/>
      <c r="X61" s="194"/>
      <c r="Y61" s="194"/>
      <c r="Z61" s="196"/>
      <c r="AA61"/>
      <c r="AB61"/>
      <c r="AC61"/>
      <c r="AD61"/>
      <c r="AE61"/>
      <c r="AF61"/>
      <c r="AG61"/>
      <c r="AH61"/>
      <c r="AI61"/>
    </row>
    <row r="62" spans="1:35" ht="30" customHeight="1" x14ac:dyDescent="0.25">
      <c r="A62" s="154" t="s">
        <v>78</v>
      </c>
      <c r="B62" s="492"/>
      <c r="C62" s="497"/>
      <c r="D62" s="499"/>
      <c r="E62" s="503"/>
      <c r="F62" s="508"/>
      <c r="G62" s="514"/>
      <c r="H62" s="517"/>
      <c r="I62" s="520"/>
      <c r="J62" s="522"/>
      <c r="K62" s="524"/>
      <c r="L62" s="516"/>
      <c r="M62" s="534"/>
      <c r="N62" s="197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6"/>
      <c r="AA62"/>
      <c r="AB62"/>
      <c r="AC62"/>
      <c r="AD62"/>
      <c r="AE62"/>
      <c r="AF62"/>
      <c r="AG62"/>
      <c r="AH62"/>
      <c r="AI62"/>
    </row>
    <row r="63" spans="1:35" ht="30" customHeight="1" x14ac:dyDescent="0.25">
      <c r="A63" s="154" t="s">
        <v>79</v>
      </c>
      <c r="B63" s="493"/>
      <c r="C63" s="529"/>
      <c r="D63" s="515" t="s">
        <v>54</v>
      </c>
      <c r="E63" s="515" t="s">
        <v>54</v>
      </c>
      <c r="F63" s="515" t="s">
        <v>54</v>
      </c>
      <c r="G63" s="509"/>
      <c r="H63" s="515" t="s">
        <v>54</v>
      </c>
      <c r="I63" s="515" t="s">
        <v>54</v>
      </c>
      <c r="J63" s="502"/>
      <c r="K63" s="525"/>
      <c r="L63" s="529"/>
      <c r="M63" s="535"/>
      <c r="N63" s="197"/>
      <c r="O63" s="194"/>
      <c r="P63" s="194"/>
      <c r="R63" s="194"/>
      <c r="S63" s="194"/>
      <c r="T63" s="194"/>
      <c r="U63" s="194"/>
      <c r="V63" s="194"/>
      <c r="W63" s="194"/>
      <c r="X63" s="194"/>
      <c r="Y63" s="194"/>
      <c r="Z63" s="196"/>
      <c r="AA63"/>
      <c r="AB63"/>
      <c r="AC63"/>
      <c r="AD63"/>
      <c r="AE63"/>
      <c r="AF63"/>
      <c r="AG63"/>
      <c r="AH63"/>
      <c r="AI63"/>
    </row>
    <row r="64" spans="1:35" ht="30" customHeight="1" x14ac:dyDescent="0.25">
      <c r="A64" s="154" t="s">
        <v>80</v>
      </c>
      <c r="B64" s="493"/>
      <c r="C64" s="530"/>
      <c r="D64" s="515" t="s">
        <v>54</v>
      </c>
      <c r="E64" s="501"/>
      <c r="F64" s="504"/>
      <c r="G64" s="510"/>
      <c r="H64" s="515" t="s">
        <v>54</v>
      </c>
      <c r="I64" s="498"/>
      <c r="J64" s="515" t="s">
        <v>54</v>
      </c>
      <c r="K64" s="526"/>
      <c r="L64" s="530"/>
      <c r="M64" s="536"/>
      <c r="N64" s="197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6"/>
      <c r="AA64"/>
      <c r="AB64"/>
      <c r="AC64"/>
      <c r="AD64"/>
      <c r="AE64"/>
      <c r="AF64"/>
      <c r="AG64"/>
      <c r="AH64"/>
      <c r="AI64"/>
    </row>
    <row r="65" spans="1:35" ht="30" customHeight="1" x14ac:dyDescent="0.25">
      <c r="A65" s="154" t="s">
        <v>81</v>
      </c>
      <c r="B65" s="493"/>
      <c r="C65" s="531"/>
      <c r="D65" s="515" t="s">
        <v>54</v>
      </c>
      <c r="E65" s="515" t="s">
        <v>54</v>
      </c>
      <c r="F65" s="505"/>
      <c r="G65" s="511"/>
      <c r="H65" s="515" t="s">
        <v>54</v>
      </c>
      <c r="I65" s="518"/>
      <c r="J65" s="515" t="s">
        <v>54</v>
      </c>
      <c r="K65" s="527"/>
      <c r="L65" s="531"/>
      <c r="M65" s="537"/>
      <c r="N65" s="197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6"/>
      <c r="AA65"/>
      <c r="AB65"/>
      <c r="AC65"/>
      <c r="AD65"/>
      <c r="AE65"/>
      <c r="AF65"/>
      <c r="AG65"/>
      <c r="AH65"/>
      <c r="AI65"/>
    </row>
    <row r="66" spans="1:35" ht="30" customHeight="1" x14ac:dyDescent="0.25">
      <c r="A66" s="154" t="s">
        <v>82</v>
      </c>
      <c r="B66" s="494"/>
      <c r="C66" s="532"/>
      <c r="D66" s="515" t="s">
        <v>54</v>
      </c>
      <c r="E66" s="515" t="s">
        <v>54</v>
      </c>
      <c r="F66" s="506"/>
      <c r="G66" s="510"/>
      <c r="H66" s="515" t="s">
        <v>54</v>
      </c>
      <c r="I66" s="519"/>
      <c r="J66" s="515" t="s">
        <v>54</v>
      </c>
      <c r="K66" s="525"/>
      <c r="L66" s="532"/>
      <c r="M66" s="538"/>
      <c r="N66" s="197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6"/>
      <c r="AA66"/>
      <c r="AB66"/>
      <c r="AC66"/>
      <c r="AD66"/>
      <c r="AE66"/>
      <c r="AF66"/>
      <c r="AG66"/>
      <c r="AH66"/>
      <c r="AI66"/>
    </row>
    <row r="67" spans="1:35" ht="30" customHeight="1" x14ac:dyDescent="0.25">
      <c r="A67" s="154" t="s">
        <v>83</v>
      </c>
      <c r="B67" s="495"/>
      <c r="C67" s="514"/>
      <c r="D67" s="515" t="s">
        <v>54</v>
      </c>
      <c r="E67" s="500"/>
      <c r="F67" s="504"/>
      <c r="G67" s="512"/>
      <c r="H67" s="515" t="s">
        <v>54</v>
      </c>
      <c r="I67" s="518"/>
      <c r="J67" s="515" t="s">
        <v>54</v>
      </c>
      <c r="K67" s="515"/>
      <c r="L67" s="514"/>
      <c r="M67" s="538"/>
      <c r="N67" s="197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6"/>
      <c r="AA67"/>
      <c r="AB67"/>
      <c r="AC67"/>
      <c r="AD67"/>
      <c r="AE67"/>
      <c r="AF67"/>
      <c r="AG67"/>
      <c r="AH67"/>
      <c r="AI67"/>
    </row>
    <row r="68" spans="1:35" ht="30" customHeight="1" x14ac:dyDescent="0.25">
      <c r="A68" s="154" t="s">
        <v>84</v>
      </c>
      <c r="B68" s="495"/>
      <c r="C68" s="533"/>
      <c r="D68" s="515" t="s">
        <v>54</v>
      </c>
      <c r="E68" s="515" t="s">
        <v>54</v>
      </c>
      <c r="F68" s="515" t="s">
        <v>54</v>
      </c>
      <c r="G68" s="508"/>
      <c r="H68" s="515" t="s">
        <v>54</v>
      </c>
      <c r="I68" s="515" t="s">
        <v>54</v>
      </c>
      <c r="J68" s="521"/>
      <c r="K68" s="528"/>
      <c r="L68" s="533"/>
      <c r="M68" s="539"/>
      <c r="N68" s="197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6"/>
      <c r="AA68"/>
      <c r="AB68"/>
      <c r="AC68"/>
      <c r="AD68"/>
      <c r="AE68"/>
      <c r="AF68"/>
      <c r="AG68"/>
      <c r="AH68"/>
      <c r="AI68"/>
    </row>
    <row r="69" spans="1:35" ht="30" customHeight="1" x14ac:dyDescent="0.25">
      <c r="A69" s="154" t="s">
        <v>85</v>
      </c>
      <c r="B69" s="496"/>
      <c r="C69" s="498"/>
      <c r="D69" s="502"/>
      <c r="E69" s="507"/>
      <c r="F69" s="513"/>
      <c r="G69" s="516"/>
      <c r="H69" s="519"/>
      <c r="I69" s="502"/>
      <c r="J69" s="523"/>
      <c r="K69" s="510"/>
      <c r="L69" s="516"/>
      <c r="M69" s="540"/>
      <c r="N69" s="197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6"/>
      <c r="AA69"/>
      <c r="AB69"/>
      <c r="AC69"/>
      <c r="AD69"/>
      <c r="AE69"/>
      <c r="AF69"/>
      <c r="AG69"/>
      <c r="AH69"/>
      <c r="AI69"/>
    </row>
    <row r="70" spans="1:35" ht="15" customHeight="1" x14ac:dyDescent="0.25">
      <c r="A70" s="162"/>
      <c r="B70" s="163"/>
      <c r="C70" s="164"/>
      <c r="D70" s="165"/>
      <c r="E70" s="166"/>
      <c r="F70" s="167"/>
      <c r="G70" s="168"/>
      <c r="H70" s="169"/>
      <c r="I70" s="170"/>
      <c r="J70" s="170"/>
      <c r="K70" s="167"/>
      <c r="L70" s="165"/>
      <c r="M70" s="163"/>
      <c r="N70" s="198"/>
      <c r="O70" s="195"/>
      <c r="P70" s="195"/>
      <c r="Q70" s="195"/>
      <c r="R70" s="194"/>
      <c r="S70" s="194"/>
      <c r="T70" s="194"/>
      <c r="U70" s="194"/>
      <c r="V70" s="194"/>
      <c r="W70" s="194"/>
      <c r="X70" s="194"/>
      <c r="Y70" s="194"/>
      <c r="Z70" s="196"/>
      <c r="AA70"/>
      <c r="AB70"/>
      <c r="AC70"/>
      <c r="AD70"/>
      <c r="AE70"/>
      <c r="AF70"/>
      <c r="AG70"/>
      <c r="AH70"/>
      <c r="AI70"/>
    </row>
    <row r="71" spans="1:35" x14ac:dyDescent="0.25"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6"/>
      <c r="AA71"/>
      <c r="AB71"/>
      <c r="AC71"/>
      <c r="AD71"/>
      <c r="AE71"/>
      <c r="AF71"/>
      <c r="AG71"/>
      <c r="AH71"/>
      <c r="AI71"/>
    </row>
    <row r="72" spans="1:35" x14ac:dyDescent="0.25">
      <c r="B72" s="157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6"/>
      <c r="AA72"/>
      <c r="AB72"/>
      <c r="AC72"/>
      <c r="AD72"/>
      <c r="AE72"/>
      <c r="AF72"/>
      <c r="AG72"/>
      <c r="AH72"/>
      <c r="AI72"/>
    </row>
    <row r="73" spans="1:35" x14ac:dyDescent="0.25"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6"/>
      <c r="AA73"/>
      <c r="AB73"/>
      <c r="AC73"/>
      <c r="AD73"/>
      <c r="AE73"/>
      <c r="AF73"/>
      <c r="AG73"/>
      <c r="AH73"/>
      <c r="AI73"/>
    </row>
    <row r="74" spans="1:35" x14ac:dyDescent="0.25"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6"/>
      <c r="AA74"/>
      <c r="AB74"/>
      <c r="AC74"/>
      <c r="AD74"/>
      <c r="AE74"/>
      <c r="AF74"/>
      <c r="AG74"/>
      <c r="AH74"/>
      <c r="AI74"/>
    </row>
    <row r="75" spans="1:35" x14ac:dyDescent="0.25"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6"/>
      <c r="AA75"/>
      <c r="AB75"/>
      <c r="AC75"/>
      <c r="AD75"/>
      <c r="AE75"/>
      <c r="AF75"/>
      <c r="AG75"/>
      <c r="AH75"/>
      <c r="AI75"/>
    </row>
    <row r="76" spans="1:35" x14ac:dyDescent="0.25"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6"/>
      <c r="AA76"/>
      <c r="AB76"/>
      <c r="AC76"/>
      <c r="AD76"/>
      <c r="AE76"/>
      <c r="AF76"/>
      <c r="AG76"/>
      <c r="AH76"/>
      <c r="AI76"/>
    </row>
    <row r="77" spans="1:35" x14ac:dyDescent="0.25"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6"/>
      <c r="AA77"/>
      <c r="AB77"/>
      <c r="AC77"/>
      <c r="AD77"/>
      <c r="AE77"/>
      <c r="AF77"/>
      <c r="AG77"/>
      <c r="AH77"/>
      <c r="AI77"/>
    </row>
    <row r="78" spans="1:35" x14ac:dyDescent="0.25">
      <c r="N78" s="194"/>
      <c r="O78" s="194"/>
      <c r="P78" s="194"/>
      <c r="Q78" s="194"/>
      <c r="R78" s="194"/>
      <c r="S78" s="194"/>
      <c r="T78" s="194"/>
      <c r="U78" s="194"/>
      <c r="V78" s="194"/>
      <c r="W78" s="194"/>
      <c r="X78" s="194"/>
      <c r="Y78" s="194"/>
      <c r="Z78" s="196"/>
      <c r="AA78"/>
      <c r="AB78"/>
      <c r="AC78"/>
      <c r="AD78"/>
      <c r="AE78"/>
      <c r="AF78"/>
      <c r="AG78"/>
      <c r="AH78"/>
      <c r="AI78"/>
    </row>
    <row r="79" spans="1:35" x14ac:dyDescent="0.25">
      <c r="N79" s="194"/>
      <c r="O79" s="194"/>
      <c r="P79" s="194"/>
      <c r="Q79" s="194"/>
      <c r="R79" s="194"/>
      <c r="S79" s="194"/>
      <c r="T79" s="194"/>
      <c r="U79" s="194"/>
      <c r="V79" s="194"/>
      <c r="W79" s="194"/>
      <c r="X79" s="194"/>
      <c r="Y79" s="194"/>
      <c r="Z79" s="196"/>
      <c r="AA79"/>
      <c r="AB79"/>
      <c r="AC79"/>
      <c r="AD79"/>
      <c r="AE79"/>
      <c r="AF79"/>
      <c r="AG79"/>
      <c r="AH79"/>
      <c r="AI79"/>
    </row>
    <row r="80" spans="1:35" x14ac:dyDescent="0.25">
      <c r="N80" s="194"/>
      <c r="O80" s="194"/>
      <c r="P80" s="194"/>
      <c r="Q80" s="194"/>
      <c r="R80" s="194"/>
      <c r="S80" s="194"/>
      <c r="T80" s="194"/>
      <c r="U80" s="194"/>
      <c r="V80" s="194"/>
      <c r="W80" s="194"/>
      <c r="X80" s="194"/>
      <c r="Y80" s="194"/>
      <c r="Z80" s="196"/>
      <c r="AA80"/>
      <c r="AB80"/>
      <c r="AC80"/>
      <c r="AD80"/>
      <c r="AE80"/>
      <c r="AF80"/>
      <c r="AG80"/>
      <c r="AH80"/>
      <c r="AI80"/>
    </row>
    <row r="81" spans="14:35" x14ac:dyDescent="0.25">
      <c r="N81" s="194"/>
      <c r="O81" s="194"/>
      <c r="P81" s="194"/>
      <c r="Q81" s="194"/>
      <c r="R81" s="194"/>
      <c r="S81" s="194"/>
      <c r="T81" s="194"/>
      <c r="U81" s="194"/>
      <c r="V81" s="194"/>
      <c r="W81" s="194"/>
      <c r="X81" s="194"/>
      <c r="Y81" s="194"/>
      <c r="Z81" s="196"/>
      <c r="AA81"/>
      <c r="AB81"/>
      <c r="AC81"/>
      <c r="AD81"/>
      <c r="AE81"/>
      <c r="AF81"/>
      <c r="AG81"/>
      <c r="AH81"/>
      <c r="AI81"/>
    </row>
    <row r="82" spans="14:35" x14ac:dyDescent="0.25">
      <c r="N82" s="194"/>
      <c r="O82" s="194"/>
      <c r="P82" s="194"/>
      <c r="Q82" s="194"/>
      <c r="R82" s="194"/>
      <c r="S82" s="194"/>
      <c r="T82" s="194"/>
      <c r="U82" s="194"/>
      <c r="V82" s="194"/>
      <c r="W82" s="194"/>
      <c r="X82" s="194"/>
      <c r="Y82" s="194"/>
      <c r="Z82" s="196"/>
      <c r="AA82"/>
      <c r="AB82"/>
      <c r="AC82"/>
      <c r="AD82"/>
      <c r="AE82"/>
      <c r="AF82"/>
      <c r="AG82"/>
      <c r="AH82"/>
      <c r="AI82"/>
    </row>
    <row r="83" spans="14:35" x14ac:dyDescent="0.25">
      <c r="N83" s="194"/>
      <c r="O83" s="194"/>
      <c r="P83" s="194"/>
      <c r="Q83" s="194"/>
      <c r="R83" s="194"/>
      <c r="S83" s="194"/>
      <c r="T83" s="194"/>
      <c r="U83" s="194"/>
      <c r="V83" s="194"/>
      <c r="W83" s="194"/>
      <c r="X83" s="194"/>
      <c r="Y83" s="194"/>
      <c r="Z83" s="196"/>
      <c r="AA83"/>
      <c r="AB83"/>
      <c r="AC83"/>
      <c r="AD83"/>
      <c r="AE83"/>
      <c r="AF83"/>
      <c r="AG83"/>
      <c r="AH83"/>
      <c r="AI83"/>
    </row>
    <row r="84" spans="14:35" x14ac:dyDescent="0.25">
      <c r="N84" s="194"/>
      <c r="O84" s="194"/>
      <c r="P84" s="194"/>
      <c r="Q84" s="194"/>
      <c r="R84" s="194"/>
      <c r="S84" s="194"/>
      <c r="T84" s="194"/>
      <c r="U84" s="194"/>
      <c r="V84" s="194"/>
      <c r="W84" s="194"/>
      <c r="X84" s="194"/>
      <c r="Y84" s="194"/>
      <c r="Z84" s="196"/>
      <c r="AA84"/>
      <c r="AB84"/>
      <c r="AC84"/>
      <c r="AD84"/>
      <c r="AE84"/>
      <c r="AF84"/>
      <c r="AG84"/>
      <c r="AH84"/>
      <c r="AI84"/>
    </row>
    <row r="85" spans="14:35" x14ac:dyDescent="0.25">
      <c r="N85" s="194"/>
      <c r="O85" s="194"/>
      <c r="P85" s="194"/>
      <c r="Q85" s="194"/>
      <c r="R85" s="194"/>
      <c r="S85" s="194"/>
      <c r="T85" s="194"/>
      <c r="U85" s="194"/>
      <c r="V85" s="194"/>
      <c r="W85" s="194"/>
      <c r="X85" s="194"/>
      <c r="Y85" s="194"/>
      <c r="Z85" s="196"/>
      <c r="AA85"/>
      <c r="AB85"/>
      <c r="AC85"/>
      <c r="AD85"/>
      <c r="AE85"/>
      <c r="AF85"/>
      <c r="AG85"/>
      <c r="AH85"/>
      <c r="AI85"/>
    </row>
    <row r="86" spans="14:35" x14ac:dyDescent="0.25">
      <c r="N86" s="194"/>
      <c r="O86" s="194"/>
      <c r="P86" s="194"/>
      <c r="Q86" s="194"/>
      <c r="R86" s="194"/>
      <c r="S86" s="194"/>
      <c r="T86" s="194"/>
      <c r="U86" s="194"/>
      <c r="V86" s="194"/>
      <c r="W86" s="194"/>
      <c r="X86" s="194"/>
      <c r="Y86" s="194"/>
      <c r="Z86" s="196"/>
      <c r="AA86"/>
      <c r="AB86"/>
      <c r="AC86"/>
      <c r="AD86"/>
      <c r="AE86"/>
      <c r="AF86"/>
      <c r="AG86"/>
      <c r="AH86"/>
      <c r="AI86"/>
    </row>
    <row r="87" spans="14:35" x14ac:dyDescent="0.25">
      <c r="N87" s="194"/>
      <c r="O87" s="194"/>
      <c r="P87" s="194"/>
      <c r="Q87" s="194"/>
      <c r="R87" s="194"/>
      <c r="S87" s="194"/>
      <c r="T87" s="194"/>
      <c r="U87" s="194"/>
      <c r="V87" s="194"/>
      <c r="W87" s="194"/>
      <c r="X87" s="194"/>
      <c r="Y87" s="194"/>
      <c r="Z87" s="196"/>
      <c r="AA87"/>
      <c r="AB87"/>
      <c r="AC87"/>
      <c r="AD87"/>
      <c r="AE87"/>
      <c r="AF87"/>
      <c r="AG87"/>
      <c r="AH87"/>
      <c r="AI87"/>
    </row>
    <row r="88" spans="14:35" x14ac:dyDescent="0.25">
      <c r="N88" s="194"/>
      <c r="O88" s="194"/>
      <c r="P88" s="194"/>
      <c r="Q88" s="194"/>
      <c r="R88" s="194"/>
      <c r="S88" s="194"/>
      <c r="T88" s="194"/>
      <c r="U88" s="194"/>
      <c r="V88" s="194"/>
      <c r="W88" s="194"/>
      <c r="X88" s="194"/>
      <c r="Y88" s="194"/>
      <c r="Z88" s="196"/>
      <c r="AA88"/>
      <c r="AB88"/>
      <c r="AC88"/>
      <c r="AD88"/>
      <c r="AE88"/>
      <c r="AF88"/>
      <c r="AG88"/>
      <c r="AH88"/>
      <c r="AI88"/>
    </row>
    <row r="89" spans="14:35" x14ac:dyDescent="0.25">
      <c r="N89" s="194"/>
      <c r="O89" s="194"/>
      <c r="P89" s="194"/>
      <c r="Q89" s="194"/>
      <c r="R89" s="194"/>
      <c r="S89" s="194"/>
      <c r="T89" s="194"/>
      <c r="U89" s="194"/>
      <c r="V89" s="194"/>
      <c r="W89" s="194"/>
      <c r="X89" s="194"/>
      <c r="Y89" s="194"/>
      <c r="Z89" s="196"/>
      <c r="AA89"/>
      <c r="AB89"/>
      <c r="AC89"/>
      <c r="AD89"/>
      <c r="AE89"/>
      <c r="AF89"/>
      <c r="AG89"/>
      <c r="AH89"/>
      <c r="AI89"/>
    </row>
    <row r="90" spans="14:35" x14ac:dyDescent="0.25">
      <c r="N90" s="194"/>
      <c r="O90" s="194"/>
      <c r="P90" s="194"/>
      <c r="Q90" s="194"/>
      <c r="R90" s="194"/>
      <c r="S90" s="194"/>
      <c r="T90" s="194"/>
      <c r="U90" s="194"/>
      <c r="V90" s="194"/>
      <c r="W90" s="194"/>
      <c r="X90" s="194"/>
      <c r="Y90" s="194"/>
      <c r="Z90" s="196"/>
      <c r="AA90"/>
      <c r="AB90"/>
      <c r="AC90"/>
      <c r="AD90"/>
      <c r="AE90"/>
      <c r="AF90"/>
      <c r="AG90"/>
      <c r="AH90"/>
      <c r="AI90"/>
    </row>
    <row r="91" spans="14:35" x14ac:dyDescent="0.25">
      <c r="N91" s="194"/>
      <c r="O91" s="194"/>
      <c r="P91" s="194"/>
      <c r="Q91" s="194"/>
      <c r="R91" s="194"/>
      <c r="S91" s="194"/>
      <c r="T91" s="194"/>
      <c r="U91" s="194"/>
      <c r="V91" s="194"/>
      <c r="W91" s="194"/>
      <c r="X91" s="194"/>
      <c r="Y91" s="194"/>
      <c r="Z91" s="196"/>
      <c r="AA91"/>
      <c r="AB91"/>
      <c r="AC91"/>
      <c r="AD91"/>
      <c r="AE91"/>
      <c r="AF91"/>
      <c r="AG91"/>
      <c r="AH91"/>
      <c r="AI91"/>
    </row>
    <row r="92" spans="14:35" x14ac:dyDescent="0.25">
      <c r="N92" s="194"/>
      <c r="O92" s="194"/>
      <c r="P92" s="194"/>
      <c r="Q92" s="194"/>
      <c r="R92" s="194"/>
      <c r="S92" s="194"/>
      <c r="T92" s="194"/>
      <c r="U92" s="194"/>
      <c r="V92" s="194"/>
      <c r="W92" s="194"/>
      <c r="X92" s="194"/>
      <c r="Y92" s="194"/>
      <c r="Z92" s="196"/>
      <c r="AA92"/>
      <c r="AB92"/>
      <c r="AC92"/>
      <c r="AD92"/>
      <c r="AE92"/>
      <c r="AF92"/>
      <c r="AG92"/>
      <c r="AH92"/>
      <c r="AI92"/>
    </row>
    <row r="93" spans="14:35" x14ac:dyDescent="0.25">
      <c r="N93" s="194"/>
      <c r="O93" s="194"/>
      <c r="P93" s="194"/>
      <c r="Q93" s="194"/>
      <c r="R93" s="194"/>
      <c r="S93" s="194"/>
      <c r="T93" s="194"/>
      <c r="U93" s="194"/>
      <c r="V93" s="194"/>
      <c r="W93" s="194"/>
      <c r="X93" s="194"/>
      <c r="Y93" s="194"/>
      <c r="Z93" s="196"/>
      <c r="AA93"/>
      <c r="AB93"/>
      <c r="AC93"/>
      <c r="AD93"/>
      <c r="AE93"/>
      <c r="AF93"/>
      <c r="AG93"/>
      <c r="AH93"/>
      <c r="AI93"/>
    </row>
    <row r="94" spans="14:35" x14ac:dyDescent="0.25">
      <c r="N94" s="194"/>
      <c r="O94" s="194"/>
      <c r="P94" s="194"/>
      <c r="Q94" s="194"/>
      <c r="R94" s="194"/>
      <c r="S94" s="194"/>
      <c r="T94" s="194"/>
      <c r="U94" s="194"/>
      <c r="V94" s="194"/>
      <c r="W94" s="194"/>
      <c r="X94" s="194"/>
      <c r="Y94" s="194"/>
      <c r="Z94" s="196"/>
      <c r="AA94"/>
      <c r="AB94"/>
      <c r="AC94"/>
      <c r="AD94"/>
      <c r="AE94"/>
      <c r="AF94"/>
      <c r="AG94"/>
      <c r="AH94"/>
      <c r="AI94"/>
    </row>
    <row r="95" spans="14:35" x14ac:dyDescent="0.25">
      <c r="N95" s="194"/>
      <c r="O95" s="194"/>
      <c r="P95" s="194"/>
      <c r="Q95" s="194"/>
      <c r="R95" s="194"/>
      <c r="S95" s="194"/>
      <c r="T95" s="194"/>
      <c r="U95" s="194"/>
      <c r="V95" s="194"/>
      <c r="W95" s="194"/>
      <c r="X95" s="194"/>
      <c r="Y95" s="194"/>
      <c r="Z95" s="196"/>
      <c r="AA95"/>
      <c r="AB95"/>
      <c r="AC95"/>
      <c r="AD95"/>
      <c r="AE95"/>
      <c r="AF95"/>
      <c r="AG95"/>
      <c r="AH95"/>
      <c r="AI95"/>
    </row>
    <row r="96" spans="14:35" x14ac:dyDescent="0.25">
      <c r="N96" s="194"/>
      <c r="O96" s="194"/>
      <c r="P96" s="194"/>
      <c r="Q96" s="194"/>
      <c r="R96" s="194"/>
      <c r="S96" s="194"/>
      <c r="T96" s="194"/>
      <c r="U96" s="194"/>
      <c r="V96" s="194"/>
      <c r="W96" s="194"/>
      <c r="X96" s="194"/>
      <c r="Y96" s="194"/>
      <c r="Z96" s="196"/>
      <c r="AA96"/>
      <c r="AB96"/>
      <c r="AC96"/>
      <c r="AD96"/>
      <c r="AE96"/>
      <c r="AF96"/>
      <c r="AG96"/>
      <c r="AH96"/>
      <c r="AI96"/>
    </row>
    <row r="97" spans="14:35" x14ac:dyDescent="0.25">
      <c r="N97" s="194"/>
      <c r="O97" s="194"/>
      <c r="P97" s="194"/>
      <c r="Q97" s="194"/>
      <c r="R97" s="194"/>
      <c r="S97" s="194"/>
      <c r="T97" s="194"/>
      <c r="U97" s="194"/>
      <c r="V97" s="194"/>
      <c r="W97" s="194"/>
      <c r="X97" s="194"/>
      <c r="Y97" s="194"/>
      <c r="Z97" s="196"/>
      <c r="AA97"/>
      <c r="AB97"/>
      <c r="AC97"/>
      <c r="AD97"/>
      <c r="AE97"/>
      <c r="AF97"/>
      <c r="AG97"/>
      <c r="AH97"/>
      <c r="AI97"/>
    </row>
    <row r="98" spans="14:35" x14ac:dyDescent="0.25">
      <c r="N98" s="194"/>
      <c r="O98" s="194"/>
      <c r="P98" s="194"/>
      <c r="Q98" s="194"/>
      <c r="R98" s="194"/>
      <c r="S98" s="194"/>
      <c r="T98" s="194"/>
      <c r="U98" s="194"/>
      <c r="V98" s="194"/>
      <c r="W98" s="194"/>
      <c r="X98" s="194"/>
      <c r="Y98" s="194"/>
      <c r="Z98" s="196"/>
    </row>
    <row r="99" spans="14:35" x14ac:dyDescent="0.25">
      <c r="N99" s="194"/>
      <c r="O99" s="194"/>
      <c r="P99" s="194"/>
      <c r="Q99" s="194"/>
      <c r="R99" s="194"/>
      <c r="S99" s="194"/>
      <c r="T99" s="194"/>
      <c r="U99" s="194"/>
      <c r="V99" s="194"/>
      <c r="W99" s="194"/>
      <c r="X99" s="194"/>
      <c r="Y99" s="194"/>
      <c r="Z99" s="196"/>
    </row>
    <row r="100" spans="14:35" x14ac:dyDescent="0.25">
      <c r="N100" s="194"/>
      <c r="O100" s="194"/>
      <c r="P100" s="194"/>
      <c r="Q100" s="194"/>
      <c r="R100" s="194"/>
      <c r="S100" s="194"/>
      <c r="T100" s="194"/>
      <c r="U100" s="194"/>
      <c r="V100" s="194"/>
      <c r="W100" s="194"/>
      <c r="X100" s="194"/>
      <c r="Y100" s="194"/>
      <c r="Z100" s="196"/>
    </row>
    <row r="101" spans="14:35" x14ac:dyDescent="0.25">
      <c r="N101" s="194"/>
      <c r="O101" s="194"/>
      <c r="P101" s="194"/>
      <c r="Q101" s="194"/>
      <c r="R101" s="194"/>
      <c r="S101" s="194"/>
      <c r="T101" s="194"/>
      <c r="U101" s="194"/>
      <c r="V101" s="194"/>
      <c r="W101" s="194"/>
      <c r="X101" s="194"/>
      <c r="Y101" s="194"/>
      <c r="Z101" s="196"/>
    </row>
    <row r="102" spans="14:35" x14ac:dyDescent="0.25">
      <c r="N102" s="194"/>
      <c r="O102" s="194"/>
      <c r="P102" s="194"/>
      <c r="Q102" s="194"/>
      <c r="R102" s="194"/>
      <c r="S102" s="194"/>
      <c r="T102" s="194"/>
      <c r="U102" s="194"/>
      <c r="V102" s="194"/>
      <c r="W102" s="194"/>
      <c r="X102" s="194"/>
      <c r="Y102" s="194"/>
      <c r="Z102" s="196"/>
    </row>
    <row r="103" spans="14:35" x14ac:dyDescent="0.25">
      <c r="N103" s="194"/>
      <c r="O103" s="194"/>
      <c r="P103" s="194"/>
      <c r="Q103" s="194"/>
      <c r="R103" s="194"/>
      <c r="S103" s="194"/>
      <c r="T103" s="194"/>
      <c r="U103" s="194"/>
      <c r="V103" s="194"/>
      <c r="W103" s="194"/>
      <c r="X103" s="194"/>
      <c r="Y103" s="194"/>
      <c r="Z103" s="196"/>
    </row>
    <row r="104" spans="14:35" x14ac:dyDescent="0.25">
      <c r="N104" s="194"/>
      <c r="O104" s="194"/>
      <c r="P104" s="194"/>
      <c r="Q104" s="194"/>
      <c r="R104" s="194"/>
      <c r="S104" s="194"/>
      <c r="T104" s="194"/>
      <c r="U104" s="194"/>
      <c r="V104" s="194"/>
      <c r="W104" s="194"/>
      <c r="X104" s="194"/>
      <c r="Y104" s="194"/>
      <c r="Z104" s="196"/>
    </row>
    <row r="105" spans="14:35" x14ac:dyDescent="0.25">
      <c r="N105" s="194"/>
      <c r="O105" s="194"/>
      <c r="P105" s="194"/>
      <c r="Q105" s="194"/>
      <c r="R105" s="194"/>
      <c r="S105" s="194"/>
      <c r="T105" s="194"/>
      <c r="U105" s="194"/>
      <c r="V105" s="194"/>
      <c r="W105" s="194"/>
      <c r="X105" s="194"/>
      <c r="Y105" s="194"/>
      <c r="Z105" s="196"/>
    </row>
    <row r="106" spans="14:35" x14ac:dyDescent="0.25">
      <c r="N106" s="194"/>
      <c r="O106" s="194"/>
      <c r="P106" s="194"/>
      <c r="Q106" s="194"/>
      <c r="R106" s="194"/>
      <c r="S106" s="194"/>
      <c r="T106" s="194"/>
      <c r="U106" s="194"/>
      <c r="V106" s="194"/>
      <c r="W106" s="194"/>
      <c r="X106" s="194"/>
      <c r="Y106" s="194"/>
      <c r="Z106" s="196"/>
    </row>
    <row r="107" spans="14:35" x14ac:dyDescent="0.25">
      <c r="N107" s="194"/>
      <c r="O107" s="194"/>
      <c r="P107" s="194"/>
      <c r="Q107" s="194"/>
      <c r="R107" s="194"/>
      <c r="S107" s="194"/>
      <c r="T107" s="194"/>
      <c r="U107" s="194"/>
      <c r="V107" s="194"/>
      <c r="W107" s="194"/>
      <c r="X107" s="194"/>
      <c r="Y107" s="194"/>
      <c r="Z107" s="196"/>
    </row>
    <row r="108" spans="14:35" x14ac:dyDescent="0.25">
      <c r="N108" s="194"/>
      <c r="O108" s="194"/>
      <c r="P108" s="194"/>
      <c r="Q108" s="194"/>
      <c r="R108" s="194"/>
      <c r="S108" s="194"/>
      <c r="T108" s="194"/>
      <c r="U108" s="194"/>
      <c r="V108" s="194"/>
      <c r="W108" s="194"/>
      <c r="X108" s="194"/>
      <c r="Y108" s="194"/>
      <c r="Z108" s="196"/>
    </row>
    <row r="109" spans="14:35" x14ac:dyDescent="0.25">
      <c r="N109" s="194"/>
      <c r="O109" s="194"/>
      <c r="P109" s="194"/>
      <c r="Q109" s="194"/>
      <c r="R109" s="194"/>
      <c r="S109" s="194"/>
      <c r="T109" s="194"/>
      <c r="U109" s="194"/>
      <c r="V109" s="194"/>
      <c r="W109" s="194"/>
      <c r="X109" s="194"/>
      <c r="Y109" s="194"/>
      <c r="Z109" s="196"/>
    </row>
    <row r="110" spans="14:35" x14ac:dyDescent="0.25">
      <c r="N110" s="194"/>
      <c r="O110" s="194"/>
      <c r="P110" s="194"/>
      <c r="Q110" s="194"/>
      <c r="R110" s="194"/>
      <c r="S110" s="194"/>
      <c r="T110" s="194"/>
      <c r="U110" s="194"/>
      <c r="V110" s="194"/>
      <c r="W110" s="194"/>
      <c r="X110" s="194"/>
      <c r="Y110" s="194"/>
      <c r="Z110" s="196"/>
    </row>
    <row r="111" spans="14:35" x14ac:dyDescent="0.25">
      <c r="N111" s="194"/>
      <c r="O111" s="194"/>
      <c r="P111" s="194"/>
      <c r="Q111" s="194"/>
      <c r="R111" s="194"/>
      <c r="S111" s="194"/>
      <c r="T111" s="194"/>
      <c r="U111" s="194"/>
      <c r="V111" s="194"/>
      <c r="W111" s="194"/>
      <c r="X111" s="194"/>
      <c r="Y111" s="194"/>
      <c r="Z111" s="196"/>
    </row>
    <row r="112" spans="14:35" x14ac:dyDescent="0.25">
      <c r="N112" s="194"/>
      <c r="O112" s="194"/>
      <c r="P112" s="194"/>
      <c r="Q112" s="194"/>
      <c r="R112" s="194"/>
      <c r="S112" s="194"/>
      <c r="T112" s="194"/>
      <c r="U112" s="194"/>
      <c r="V112" s="194"/>
      <c r="W112" s="194"/>
      <c r="X112" s="194"/>
      <c r="Y112" s="194"/>
      <c r="Z112" s="196"/>
    </row>
    <row r="113" spans="14:26" x14ac:dyDescent="0.25">
      <c r="N113" s="194"/>
      <c r="O113" s="194"/>
      <c r="P113" s="194"/>
      <c r="Q113" s="194"/>
      <c r="R113" s="194"/>
      <c r="S113" s="194"/>
      <c r="T113" s="194"/>
      <c r="U113" s="194"/>
      <c r="V113" s="194"/>
      <c r="W113" s="194"/>
      <c r="X113" s="194"/>
      <c r="Y113" s="194"/>
      <c r="Z113" s="196"/>
    </row>
    <row r="114" spans="14:26" x14ac:dyDescent="0.25">
      <c r="N114" s="194"/>
      <c r="O114" s="194"/>
      <c r="P114" s="194"/>
      <c r="Q114" s="194"/>
      <c r="R114" s="194"/>
      <c r="S114" s="194"/>
      <c r="T114" s="194"/>
      <c r="U114" s="194"/>
      <c r="V114" s="194"/>
      <c r="W114" s="194"/>
      <c r="X114" s="194"/>
      <c r="Y114" s="194"/>
      <c r="Z114" s="196"/>
    </row>
    <row r="115" spans="14:26" x14ac:dyDescent="0.25">
      <c r="N115" s="194"/>
      <c r="O115" s="194"/>
      <c r="P115" s="194"/>
      <c r="Q115" s="194"/>
      <c r="R115" s="194"/>
      <c r="S115" s="194"/>
      <c r="T115" s="194"/>
      <c r="U115" s="194"/>
      <c r="V115" s="194"/>
      <c r="W115" s="194"/>
      <c r="X115" s="194"/>
      <c r="Y115" s="194"/>
      <c r="Z115" s="196"/>
    </row>
    <row r="116" spans="14:26" x14ac:dyDescent="0.25">
      <c r="N116" s="194"/>
      <c r="O116" s="194"/>
      <c r="P116" s="194"/>
      <c r="Q116" s="194"/>
      <c r="R116" s="194"/>
      <c r="S116" s="194"/>
      <c r="T116" s="194"/>
      <c r="U116" s="194"/>
      <c r="V116" s="194"/>
      <c r="W116" s="194"/>
      <c r="X116" s="194"/>
      <c r="Y116" s="194"/>
      <c r="Z116" s="196"/>
    </row>
    <row r="117" spans="14:26" x14ac:dyDescent="0.25">
      <c r="N117" s="194"/>
      <c r="O117" s="194"/>
      <c r="P117" s="194"/>
      <c r="Q117" s="194"/>
      <c r="R117" s="194"/>
      <c r="S117" s="194"/>
      <c r="T117" s="194"/>
      <c r="U117" s="194"/>
      <c r="V117" s="194"/>
      <c r="W117" s="194"/>
      <c r="X117" s="194"/>
      <c r="Y117" s="194"/>
      <c r="Z117" s="196"/>
    </row>
    <row r="118" spans="14:26" x14ac:dyDescent="0.25">
      <c r="N118" s="194"/>
      <c r="O118" s="194"/>
      <c r="P118" s="194"/>
      <c r="Q118" s="194"/>
      <c r="R118" s="194"/>
      <c r="S118" s="194"/>
      <c r="T118" s="194"/>
      <c r="U118" s="194"/>
      <c r="V118" s="194"/>
      <c r="W118" s="194"/>
      <c r="X118" s="194"/>
      <c r="Y118" s="194"/>
      <c r="Z118" s="196"/>
    </row>
    <row r="119" spans="14:26" x14ac:dyDescent="0.25">
      <c r="N119" s="194"/>
      <c r="O119" s="194"/>
      <c r="P119" s="194"/>
      <c r="Q119" s="194"/>
      <c r="R119" s="194"/>
      <c r="S119" s="194"/>
      <c r="T119" s="194"/>
      <c r="U119" s="194"/>
      <c r="V119" s="194"/>
      <c r="W119" s="194"/>
      <c r="X119" s="194"/>
      <c r="Y119" s="194"/>
      <c r="Z119" s="196"/>
    </row>
    <row r="120" spans="14:26" x14ac:dyDescent="0.25">
      <c r="N120" s="194"/>
      <c r="O120" s="194"/>
      <c r="P120" s="194"/>
      <c r="Q120" s="194"/>
      <c r="R120" s="194"/>
      <c r="S120" s="194"/>
      <c r="T120" s="194"/>
      <c r="U120" s="194"/>
      <c r="V120" s="194"/>
      <c r="W120" s="194"/>
      <c r="X120" s="194"/>
      <c r="Y120" s="194"/>
      <c r="Z120" s="196"/>
    </row>
    <row r="121" spans="14:26" x14ac:dyDescent="0.25">
      <c r="N121" s="194"/>
      <c r="O121" s="194"/>
      <c r="P121" s="194"/>
      <c r="Q121" s="194"/>
      <c r="R121" s="194"/>
      <c r="S121" s="194"/>
      <c r="T121" s="194"/>
      <c r="U121" s="194"/>
      <c r="V121" s="194"/>
      <c r="W121" s="194"/>
      <c r="X121" s="194"/>
      <c r="Y121" s="194"/>
      <c r="Z121" s="196"/>
    </row>
    <row r="122" spans="14:26" x14ac:dyDescent="0.25">
      <c r="N122" s="194"/>
      <c r="O122" s="194"/>
      <c r="P122" s="194"/>
      <c r="Q122" s="194"/>
      <c r="R122" s="194"/>
      <c r="S122" s="194"/>
      <c r="T122" s="194"/>
      <c r="U122" s="194"/>
      <c r="V122" s="194"/>
      <c r="W122" s="194"/>
      <c r="X122" s="194"/>
      <c r="Y122" s="194"/>
      <c r="Z122" s="196"/>
    </row>
    <row r="123" spans="14:26" x14ac:dyDescent="0.25">
      <c r="N123" s="194"/>
      <c r="O123" s="194"/>
      <c r="P123" s="194"/>
      <c r="Q123" s="194"/>
      <c r="R123" s="194"/>
      <c r="S123" s="194"/>
      <c r="T123" s="194"/>
      <c r="U123" s="194"/>
      <c r="V123" s="194"/>
      <c r="W123" s="194"/>
      <c r="X123" s="194"/>
      <c r="Y123" s="194"/>
      <c r="Z123" s="196"/>
    </row>
    <row r="124" spans="14:26" x14ac:dyDescent="0.25">
      <c r="N124" s="194"/>
      <c r="O124" s="194"/>
      <c r="P124" s="194"/>
      <c r="Q124" s="194"/>
      <c r="R124" s="194"/>
      <c r="S124" s="194"/>
      <c r="T124" s="194"/>
      <c r="U124" s="194"/>
      <c r="V124" s="194"/>
      <c r="W124" s="194"/>
      <c r="X124" s="194"/>
      <c r="Y124" s="194"/>
      <c r="Z124" s="196"/>
    </row>
    <row r="125" spans="14:26" x14ac:dyDescent="0.25">
      <c r="N125" s="194"/>
      <c r="O125" s="194"/>
      <c r="P125" s="194"/>
      <c r="Q125" s="194"/>
      <c r="R125" s="194"/>
      <c r="S125" s="194"/>
      <c r="T125" s="194"/>
      <c r="U125" s="194"/>
      <c r="V125" s="194"/>
      <c r="W125" s="194"/>
      <c r="X125" s="194"/>
      <c r="Y125" s="194"/>
      <c r="Z125" s="196"/>
    </row>
    <row r="126" spans="14:26" x14ac:dyDescent="0.25">
      <c r="N126" s="194"/>
      <c r="O126" s="194"/>
      <c r="P126" s="194"/>
      <c r="Q126" s="194"/>
      <c r="R126" s="194"/>
      <c r="S126" s="194"/>
      <c r="T126" s="194"/>
      <c r="U126" s="194"/>
      <c r="V126" s="194"/>
      <c r="W126" s="194"/>
      <c r="X126" s="194"/>
      <c r="Y126" s="194"/>
      <c r="Z126" s="196"/>
    </row>
    <row r="127" spans="14:26" x14ac:dyDescent="0.25">
      <c r="N127" s="194"/>
      <c r="O127" s="194"/>
      <c r="P127" s="194"/>
      <c r="Q127" s="194"/>
      <c r="R127" s="194"/>
      <c r="S127" s="194"/>
      <c r="T127" s="194"/>
      <c r="U127" s="194"/>
      <c r="V127" s="194"/>
      <c r="W127" s="194"/>
      <c r="X127" s="194"/>
      <c r="Y127" s="194"/>
      <c r="Z127" s="196"/>
    </row>
    <row r="128" spans="14:26" x14ac:dyDescent="0.25">
      <c r="N128" s="194"/>
      <c r="O128" s="194"/>
      <c r="P128" s="194"/>
      <c r="Q128" s="194"/>
      <c r="R128" s="194"/>
      <c r="S128" s="194"/>
      <c r="T128" s="194"/>
      <c r="U128" s="194"/>
      <c r="V128" s="194"/>
      <c r="W128" s="194"/>
      <c r="X128" s="194"/>
      <c r="Y128" s="194"/>
      <c r="Z128" s="196"/>
    </row>
    <row r="129" spans="14:26" x14ac:dyDescent="0.25">
      <c r="N129" s="194"/>
      <c r="O129" s="194"/>
      <c r="P129" s="194"/>
      <c r="Q129" s="194"/>
      <c r="R129" s="194"/>
      <c r="S129" s="194"/>
      <c r="T129" s="194"/>
      <c r="U129" s="194"/>
      <c r="V129" s="194"/>
      <c r="W129" s="194"/>
      <c r="X129" s="194"/>
      <c r="Y129" s="194"/>
      <c r="Z129" s="196"/>
    </row>
    <row r="130" spans="14:26" x14ac:dyDescent="0.25">
      <c r="N130" s="194"/>
      <c r="O130" s="194"/>
      <c r="P130" s="194"/>
      <c r="Q130" s="194"/>
      <c r="R130" s="194"/>
      <c r="S130" s="194"/>
      <c r="T130" s="194"/>
      <c r="U130" s="194"/>
      <c r="V130" s="194"/>
      <c r="W130" s="194"/>
      <c r="X130" s="194"/>
      <c r="Y130" s="194"/>
      <c r="Z130" s="196"/>
    </row>
    <row r="131" spans="14:26" x14ac:dyDescent="0.25">
      <c r="N131" s="194"/>
      <c r="O131" s="194"/>
      <c r="P131" s="194"/>
      <c r="Q131" s="194"/>
      <c r="R131" s="194"/>
      <c r="S131" s="194"/>
      <c r="T131" s="194"/>
      <c r="U131" s="194"/>
      <c r="V131" s="194"/>
      <c r="W131" s="194"/>
      <c r="X131" s="194"/>
      <c r="Y131" s="194"/>
      <c r="Z131" s="196"/>
    </row>
    <row r="132" spans="14:26" x14ac:dyDescent="0.25">
      <c r="N132" s="194"/>
      <c r="O132" s="194"/>
      <c r="P132" s="194"/>
      <c r="Q132" s="194"/>
      <c r="R132" s="194"/>
      <c r="S132" s="194"/>
      <c r="T132" s="194"/>
      <c r="U132" s="194"/>
      <c r="V132" s="194"/>
      <c r="W132" s="194"/>
      <c r="X132" s="194"/>
      <c r="Y132" s="194"/>
      <c r="Z132" s="196"/>
    </row>
    <row r="133" spans="14:26" x14ac:dyDescent="0.25">
      <c r="N133" s="194"/>
      <c r="O133" s="194"/>
      <c r="P133" s="194"/>
      <c r="Q133" s="194"/>
      <c r="R133" s="194"/>
      <c r="S133" s="194"/>
      <c r="T133" s="194"/>
      <c r="U133" s="194"/>
      <c r="V133" s="194"/>
      <c r="W133" s="194"/>
      <c r="X133" s="194"/>
      <c r="Y133" s="194"/>
      <c r="Z133" s="196"/>
    </row>
    <row r="134" spans="14:26" x14ac:dyDescent="0.25">
      <c r="N134" s="194"/>
      <c r="O134" s="194"/>
      <c r="P134" s="194"/>
      <c r="Q134" s="194"/>
      <c r="R134" s="194"/>
      <c r="S134" s="194"/>
      <c r="T134" s="194"/>
      <c r="U134" s="194"/>
      <c r="V134" s="194"/>
      <c r="W134" s="194"/>
      <c r="X134" s="194"/>
      <c r="Y134" s="194"/>
      <c r="Z134" s="196"/>
    </row>
    <row r="135" spans="14:26" x14ac:dyDescent="0.25">
      <c r="N135" s="194"/>
      <c r="O135" s="194"/>
      <c r="P135" s="194"/>
      <c r="Q135" s="194"/>
      <c r="R135" s="194"/>
      <c r="S135" s="194"/>
      <c r="T135" s="194"/>
      <c r="U135" s="194"/>
      <c r="V135" s="194"/>
      <c r="W135" s="194"/>
      <c r="X135" s="194"/>
      <c r="Y135" s="194"/>
      <c r="Z135" s="196"/>
    </row>
    <row r="136" spans="14:26" x14ac:dyDescent="0.25">
      <c r="N136" s="194"/>
      <c r="O136" s="194"/>
      <c r="P136" s="194"/>
      <c r="Q136" s="194"/>
      <c r="R136" s="194"/>
      <c r="S136" s="194"/>
      <c r="T136" s="194"/>
      <c r="U136" s="194"/>
      <c r="V136" s="194"/>
      <c r="W136" s="194"/>
      <c r="X136" s="194"/>
      <c r="Y136" s="194"/>
      <c r="Z136" s="196"/>
    </row>
    <row r="137" spans="14:26" x14ac:dyDescent="0.25">
      <c r="N137" s="194"/>
      <c r="O137" s="194"/>
      <c r="P137" s="194"/>
      <c r="Q137" s="194"/>
      <c r="R137" s="194"/>
      <c r="S137" s="194"/>
      <c r="T137" s="194"/>
      <c r="U137" s="194"/>
      <c r="V137" s="194"/>
      <c r="W137" s="194"/>
      <c r="X137" s="194"/>
      <c r="Y137" s="194"/>
      <c r="Z137" s="196"/>
    </row>
    <row r="138" spans="14:26" x14ac:dyDescent="0.25">
      <c r="N138" s="194"/>
      <c r="O138" s="194"/>
      <c r="P138" s="194"/>
      <c r="Q138" s="194"/>
      <c r="R138" s="194"/>
      <c r="S138" s="194"/>
      <c r="T138" s="194"/>
      <c r="U138" s="194"/>
      <c r="V138" s="194"/>
      <c r="W138" s="194"/>
      <c r="X138" s="194"/>
      <c r="Y138" s="194"/>
      <c r="Z138" s="196"/>
    </row>
    <row r="139" spans="14:26" x14ac:dyDescent="0.25">
      <c r="N139" s="194"/>
      <c r="O139" s="194"/>
      <c r="P139" s="194"/>
      <c r="Q139" s="194"/>
      <c r="R139" s="194"/>
      <c r="S139" s="194"/>
      <c r="T139" s="194"/>
      <c r="U139" s="194"/>
      <c r="V139" s="194"/>
      <c r="W139" s="194"/>
      <c r="X139" s="194"/>
      <c r="Y139" s="194"/>
      <c r="Z139" s="196"/>
    </row>
    <row r="140" spans="14:26" x14ac:dyDescent="0.25">
      <c r="N140" s="194"/>
      <c r="O140" s="194"/>
      <c r="P140" s="194"/>
      <c r="Q140" s="194"/>
      <c r="R140" s="194"/>
      <c r="S140" s="194"/>
      <c r="T140" s="194"/>
      <c r="U140" s="194"/>
      <c r="V140" s="194"/>
      <c r="W140" s="194"/>
      <c r="X140" s="194"/>
      <c r="Y140" s="194"/>
      <c r="Z140" s="196"/>
    </row>
    <row r="141" spans="14:26" x14ac:dyDescent="0.25">
      <c r="N141" s="194"/>
      <c r="O141" s="194"/>
      <c r="P141" s="194"/>
      <c r="Q141" s="194"/>
      <c r="R141" s="194"/>
      <c r="S141" s="194"/>
      <c r="T141" s="194"/>
      <c r="U141" s="194"/>
      <c r="V141" s="194"/>
      <c r="W141" s="194"/>
      <c r="X141" s="194"/>
      <c r="Y141" s="194"/>
      <c r="Z141" s="196"/>
    </row>
    <row r="142" spans="14:26" x14ac:dyDescent="0.25">
      <c r="N142" s="194"/>
      <c r="O142" s="194"/>
      <c r="P142" s="194"/>
      <c r="Q142" s="194"/>
      <c r="R142" s="194"/>
      <c r="S142" s="194"/>
      <c r="T142" s="194"/>
      <c r="U142" s="194"/>
      <c r="V142" s="194"/>
      <c r="W142" s="194"/>
      <c r="X142" s="194"/>
      <c r="Y142" s="194"/>
      <c r="Z142" s="196"/>
    </row>
    <row r="143" spans="14:26" x14ac:dyDescent="0.25">
      <c r="N143" s="194"/>
      <c r="O143" s="194"/>
      <c r="P143" s="194"/>
      <c r="Q143" s="194"/>
      <c r="R143" s="194"/>
      <c r="S143" s="194"/>
      <c r="T143" s="194"/>
      <c r="U143" s="194"/>
      <c r="V143" s="194"/>
      <c r="W143" s="194"/>
      <c r="X143" s="194"/>
      <c r="Y143" s="194"/>
      <c r="Z143" s="196"/>
    </row>
    <row r="144" spans="14:26" x14ac:dyDescent="0.25">
      <c r="N144" s="194"/>
      <c r="O144" s="194"/>
      <c r="P144" s="194"/>
      <c r="Q144" s="194"/>
      <c r="R144" s="194"/>
      <c r="S144" s="194"/>
      <c r="T144" s="194"/>
      <c r="U144" s="194"/>
      <c r="V144" s="194"/>
      <c r="W144" s="194"/>
      <c r="X144" s="194"/>
      <c r="Y144" s="194"/>
      <c r="Z144" s="196"/>
    </row>
    <row r="145" spans="14:26" x14ac:dyDescent="0.25">
      <c r="N145" s="194"/>
      <c r="O145" s="194"/>
      <c r="P145" s="194"/>
      <c r="Q145" s="194"/>
      <c r="R145" s="194"/>
      <c r="S145" s="194"/>
      <c r="T145" s="194"/>
      <c r="U145" s="194"/>
      <c r="V145" s="194"/>
      <c r="W145" s="194"/>
      <c r="X145" s="194"/>
      <c r="Y145" s="194"/>
      <c r="Z145" s="196"/>
    </row>
    <row r="146" spans="14:26" x14ac:dyDescent="0.25">
      <c r="N146" s="194"/>
      <c r="O146" s="194"/>
      <c r="P146" s="194"/>
      <c r="Q146" s="194"/>
      <c r="R146" s="194"/>
      <c r="S146" s="194"/>
      <c r="T146" s="194"/>
      <c r="U146" s="194"/>
      <c r="V146" s="194"/>
      <c r="W146" s="194"/>
      <c r="X146" s="194"/>
      <c r="Y146" s="194"/>
      <c r="Z146" s="196"/>
    </row>
    <row r="147" spans="14:26" x14ac:dyDescent="0.25">
      <c r="N147" s="194"/>
      <c r="O147" s="194"/>
      <c r="P147" s="194"/>
      <c r="Q147" s="194"/>
      <c r="R147" s="194"/>
      <c r="S147" s="194"/>
      <c r="T147" s="194"/>
      <c r="U147" s="194"/>
      <c r="V147" s="194"/>
      <c r="W147" s="194"/>
      <c r="X147" s="194"/>
      <c r="Y147" s="194"/>
      <c r="Z147" s="196"/>
    </row>
    <row r="148" spans="14:26" x14ac:dyDescent="0.25">
      <c r="N148" s="194"/>
      <c r="O148" s="194"/>
      <c r="P148" s="194"/>
      <c r="Q148" s="194"/>
      <c r="R148" s="194"/>
      <c r="S148" s="194"/>
      <c r="T148" s="194"/>
      <c r="U148" s="194"/>
      <c r="V148" s="194"/>
      <c r="W148" s="194"/>
      <c r="X148" s="194"/>
      <c r="Y148" s="194"/>
      <c r="Z148" s="196"/>
    </row>
    <row r="149" spans="14:26" x14ac:dyDescent="0.25">
      <c r="N149" s="194"/>
      <c r="O149" s="194"/>
      <c r="P149" s="194"/>
      <c r="Q149" s="194"/>
      <c r="R149" s="194"/>
      <c r="S149" s="194"/>
      <c r="T149" s="194"/>
      <c r="U149" s="194"/>
      <c r="V149" s="194"/>
      <c r="W149" s="194"/>
      <c r="X149" s="194"/>
      <c r="Y149" s="194"/>
      <c r="Z149" s="196"/>
    </row>
    <row r="150" spans="14:26" x14ac:dyDescent="0.25">
      <c r="N150" s="194"/>
      <c r="O150" s="194"/>
      <c r="P150" s="194"/>
      <c r="Q150" s="194"/>
      <c r="R150" s="194"/>
      <c r="S150" s="194"/>
      <c r="T150" s="194"/>
      <c r="U150" s="194"/>
      <c r="V150" s="194"/>
      <c r="W150" s="194"/>
      <c r="X150" s="194"/>
      <c r="Y150" s="194"/>
      <c r="Z150" s="196"/>
    </row>
    <row r="151" spans="14:26" x14ac:dyDescent="0.25">
      <c r="N151" s="194"/>
      <c r="O151" s="194"/>
      <c r="P151" s="194"/>
      <c r="Q151" s="194"/>
      <c r="R151" s="194"/>
      <c r="S151" s="194"/>
      <c r="T151" s="194"/>
      <c r="U151" s="194"/>
      <c r="V151" s="194"/>
      <c r="W151" s="194"/>
      <c r="X151" s="194"/>
      <c r="Y151" s="194"/>
      <c r="Z151" s="196"/>
    </row>
    <row r="152" spans="14:26" x14ac:dyDescent="0.25">
      <c r="N152" s="194"/>
      <c r="O152" s="194"/>
      <c r="P152" s="194"/>
      <c r="Q152" s="194"/>
      <c r="R152" s="194"/>
      <c r="S152" s="194"/>
      <c r="T152" s="194"/>
      <c r="U152" s="194"/>
      <c r="V152" s="194"/>
      <c r="W152" s="194"/>
      <c r="X152" s="194"/>
      <c r="Y152" s="194"/>
      <c r="Z152" s="196"/>
    </row>
    <row r="153" spans="14:26" x14ac:dyDescent="0.25">
      <c r="N153" s="194"/>
      <c r="O153" s="194"/>
      <c r="P153" s="194"/>
      <c r="Q153" s="194"/>
      <c r="R153" s="194"/>
      <c r="S153" s="194"/>
      <c r="T153" s="194"/>
      <c r="U153" s="194"/>
      <c r="V153" s="194"/>
      <c r="W153" s="194"/>
      <c r="X153" s="194"/>
      <c r="Y153" s="194"/>
      <c r="Z153" s="196"/>
    </row>
    <row r="154" spans="14:26" x14ac:dyDescent="0.25">
      <c r="N154" s="194"/>
      <c r="O154" s="194"/>
      <c r="P154" s="194"/>
      <c r="Q154" s="194"/>
      <c r="R154" s="194"/>
      <c r="S154" s="194"/>
      <c r="T154" s="194"/>
      <c r="U154" s="194"/>
      <c r="V154" s="194"/>
      <c r="W154" s="194"/>
      <c r="X154" s="194"/>
      <c r="Y154" s="194"/>
      <c r="Z154" s="196"/>
    </row>
    <row r="155" spans="14:26" x14ac:dyDescent="0.25">
      <c r="N155" s="194"/>
      <c r="O155" s="194"/>
      <c r="P155" s="194"/>
      <c r="Q155" s="194"/>
      <c r="R155" s="194"/>
      <c r="S155" s="194"/>
      <c r="T155" s="194"/>
      <c r="U155" s="194"/>
      <c r="V155" s="194"/>
      <c r="W155" s="194"/>
      <c r="X155" s="194"/>
      <c r="Y155" s="194"/>
      <c r="Z155" s="196"/>
    </row>
    <row r="156" spans="14:26" x14ac:dyDescent="0.25">
      <c r="N156" s="194"/>
      <c r="O156" s="194"/>
      <c r="P156" s="194"/>
      <c r="Q156" s="194"/>
      <c r="R156" s="194"/>
      <c r="S156" s="194"/>
      <c r="T156" s="194"/>
      <c r="U156" s="194"/>
      <c r="V156" s="194"/>
      <c r="W156" s="194"/>
      <c r="X156" s="194"/>
      <c r="Y156" s="194"/>
      <c r="Z156" s="196"/>
    </row>
    <row r="157" spans="14:26" x14ac:dyDescent="0.25">
      <c r="N157" s="194"/>
      <c r="O157" s="194"/>
      <c r="P157" s="194"/>
      <c r="Q157" s="194"/>
      <c r="R157" s="194"/>
      <c r="S157" s="194"/>
      <c r="T157" s="194"/>
      <c r="U157" s="194"/>
      <c r="V157" s="194"/>
      <c r="W157" s="194"/>
      <c r="X157" s="194"/>
      <c r="Y157" s="194"/>
      <c r="Z157" s="196"/>
    </row>
    <row r="158" spans="14:26" x14ac:dyDescent="0.25">
      <c r="N158" s="194"/>
      <c r="O158" s="194"/>
      <c r="P158" s="194"/>
      <c r="Q158" s="194"/>
      <c r="R158" s="194"/>
      <c r="S158" s="194"/>
      <c r="T158" s="194"/>
      <c r="U158" s="194"/>
      <c r="V158" s="194"/>
      <c r="W158" s="194"/>
      <c r="X158" s="194"/>
      <c r="Y158" s="194"/>
      <c r="Z158" s="196"/>
    </row>
    <row r="159" spans="14:26" x14ac:dyDescent="0.25">
      <c r="N159" s="194"/>
      <c r="O159" s="194"/>
      <c r="P159" s="194"/>
      <c r="Q159" s="194"/>
      <c r="R159" s="194"/>
      <c r="S159" s="194"/>
      <c r="T159" s="194"/>
      <c r="U159" s="194"/>
      <c r="V159" s="194"/>
      <c r="W159" s="194"/>
      <c r="X159" s="194"/>
      <c r="Y159" s="194"/>
      <c r="Z159" s="196"/>
    </row>
    <row r="160" spans="14:26" x14ac:dyDescent="0.25">
      <c r="N160" s="194"/>
      <c r="O160" s="194"/>
      <c r="P160" s="194"/>
      <c r="Q160" s="194"/>
      <c r="R160" s="194"/>
      <c r="S160" s="194"/>
      <c r="T160" s="194"/>
      <c r="U160" s="194"/>
      <c r="V160" s="194"/>
      <c r="W160" s="194"/>
      <c r="X160" s="194"/>
      <c r="Y160" s="194"/>
      <c r="Z160" s="196"/>
    </row>
    <row r="161" spans="14:26" x14ac:dyDescent="0.25">
      <c r="N161" s="194"/>
      <c r="O161" s="194"/>
      <c r="P161" s="194"/>
      <c r="Q161" s="194"/>
      <c r="R161" s="194"/>
      <c r="S161" s="194"/>
      <c r="T161" s="194"/>
      <c r="U161" s="194"/>
      <c r="V161" s="194"/>
      <c r="W161" s="194"/>
      <c r="X161" s="194"/>
      <c r="Y161" s="194"/>
      <c r="Z161" s="196"/>
    </row>
    <row r="162" spans="14:26" x14ac:dyDescent="0.25">
      <c r="N162" s="194"/>
      <c r="O162" s="194"/>
      <c r="P162" s="194"/>
      <c r="Q162" s="194"/>
      <c r="R162" s="194"/>
      <c r="S162" s="194"/>
      <c r="T162" s="194"/>
      <c r="U162" s="194"/>
      <c r="V162" s="194"/>
      <c r="W162" s="194"/>
      <c r="X162" s="194"/>
      <c r="Y162" s="194"/>
      <c r="Z162" s="196"/>
    </row>
    <row r="163" spans="14:26" x14ac:dyDescent="0.25">
      <c r="N163" s="194"/>
      <c r="O163" s="194"/>
      <c r="P163" s="194"/>
      <c r="Q163" s="194"/>
      <c r="R163" s="194"/>
      <c r="S163" s="194"/>
      <c r="T163" s="194"/>
      <c r="U163" s="194"/>
      <c r="V163" s="194"/>
      <c r="W163" s="194"/>
      <c r="X163" s="194"/>
      <c r="Y163" s="194"/>
      <c r="Z163" s="196"/>
    </row>
    <row r="164" spans="14:26" x14ac:dyDescent="0.25">
      <c r="N164" s="194"/>
      <c r="O164" s="194"/>
      <c r="P164" s="194"/>
      <c r="Q164" s="194"/>
      <c r="R164" s="194"/>
      <c r="S164" s="194"/>
      <c r="T164" s="194"/>
      <c r="U164" s="194"/>
      <c r="V164" s="194"/>
      <c r="W164" s="194"/>
      <c r="X164" s="194"/>
      <c r="Y164" s="194"/>
      <c r="Z164" s="196"/>
    </row>
    <row r="165" spans="14:26" x14ac:dyDescent="0.25">
      <c r="N165" s="194"/>
      <c r="O165" s="194"/>
      <c r="P165" s="194"/>
      <c r="Q165" s="194"/>
      <c r="R165" s="194"/>
      <c r="S165" s="194"/>
      <c r="T165" s="194"/>
      <c r="U165" s="194"/>
      <c r="V165" s="194"/>
      <c r="W165" s="194"/>
      <c r="X165" s="194"/>
      <c r="Y165" s="194"/>
      <c r="Z165" s="196"/>
    </row>
    <row r="166" spans="14:26" x14ac:dyDescent="0.25">
      <c r="N166" s="194"/>
      <c r="O166" s="194"/>
      <c r="P166" s="194"/>
      <c r="Q166" s="194"/>
      <c r="R166" s="194"/>
      <c r="S166" s="194"/>
      <c r="T166" s="194"/>
      <c r="U166" s="194"/>
      <c r="V166" s="194"/>
      <c r="W166" s="194"/>
      <c r="X166" s="194"/>
      <c r="Y166" s="194"/>
      <c r="Z166" s="196"/>
    </row>
    <row r="167" spans="14:26" x14ac:dyDescent="0.25">
      <c r="N167" s="194"/>
      <c r="O167" s="194"/>
      <c r="P167" s="194"/>
      <c r="Q167" s="194"/>
      <c r="R167" s="194"/>
      <c r="S167" s="194"/>
      <c r="T167" s="194"/>
      <c r="U167" s="194"/>
      <c r="V167" s="194"/>
      <c r="W167" s="194"/>
      <c r="X167" s="194"/>
      <c r="Y167" s="194"/>
      <c r="Z167" s="196"/>
    </row>
    <row r="168" spans="14:26" x14ac:dyDescent="0.25">
      <c r="N168" s="194"/>
      <c r="O168" s="194"/>
      <c r="P168" s="194"/>
      <c r="Q168" s="194"/>
      <c r="R168" s="194"/>
      <c r="S168" s="194"/>
      <c r="T168" s="194"/>
      <c r="U168" s="194"/>
      <c r="V168" s="194"/>
      <c r="W168" s="194"/>
      <c r="X168" s="194"/>
      <c r="Y168" s="194"/>
      <c r="Z168" s="196"/>
    </row>
    <row r="169" spans="14:26" x14ac:dyDescent="0.25">
      <c r="N169" s="194"/>
      <c r="O169" s="194"/>
      <c r="P169" s="194"/>
      <c r="Q169" s="194"/>
      <c r="R169" s="194"/>
      <c r="S169" s="194"/>
      <c r="T169" s="194"/>
      <c r="U169" s="194"/>
      <c r="V169" s="194"/>
      <c r="W169" s="194"/>
      <c r="X169" s="194"/>
      <c r="Y169" s="194"/>
      <c r="Z169" s="196"/>
    </row>
    <row r="170" spans="14:26" x14ac:dyDescent="0.25">
      <c r="N170" s="194"/>
      <c r="O170" s="194"/>
      <c r="P170" s="194"/>
      <c r="Q170" s="194"/>
      <c r="R170" s="194"/>
      <c r="S170" s="194"/>
      <c r="T170" s="194"/>
      <c r="U170" s="194"/>
      <c r="V170" s="194"/>
      <c r="W170" s="194"/>
      <c r="X170" s="194"/>
      <c r="Y170" s="194"/>
      <c r="Z170" s="196"/>
    </row>
    <row r="171" spans="14:26" x14ac:dyDescent="0.25">
      <c r="N171" s="194"/>
      <c r="O171" s="194"/>
      <c r="P171" s="194"/>
      <c r="Q171" s="194"/>
      <c r="R171" s="194"/>
      <c r="S171" s="194"/>
      <c r="T171" s="194"/>
      <c r="U171" s="194"/>
      <c r="V171" s="194"/>
      <c r="W171" s="194"/>
      <c r="X171" s="194"/>
      <c r="Y171" s="194"/>
      <c r="Z171" s="196"/>
    </row>
    <row r="172" spans="14:26" x14ac:dyDescent="0.25">
      <c r="N172" s="194"/>
      <c r="O172" s="194"/>
      <c r="P172" s="194"/>
      <c r="Q172" s="194"/>
      <c r="R172" s="194"/>
      <c r="S172" s="194"/>
      <c r="T172" s="194"/>
      <c r="U172" s="194"/>
      <c r="V172" s="194"/>
      <c r="W172" s="194"/>
      <c r="X172" s="194"/>
      <c r="Y172" s="194"/>
      <c r="Z172" s="196"/>
    </row>
    <row r="173" spans="14:26" x14ac:dyDescent="0.25">
      <c r="N173" s="194"/>
      <c r="O173" s="194"/>
      <c r="P173" s="194"/>
      <c r="Q173" s="194"/>
      <c r="R173" s="194"/>
      <c r="S173" s="194"/>
      <c r="T173" s="194"/>
      <c r="U173" s="194"/>
      <c r="V173" s="194"/>
      <c r="W173" s="194"/>
      <c r="X173" s="194"/>
      <c r="Y173" s="194"/>
      <c r="Z173" s="196"/>
    </row>
    <row r="174" spans="14:26" x14ac:dyDescent="0.25">
      <c r="N174" s="194"/>
      <c r="O174" s="194"/>
      <c r="P174" s="194"/>
      <c r="Q174" s="194"/>
      <c r="R174" s="194"/>
      <c r="S174" s="194"/>
      <c r="T174" s="194"/>
      <c r="U174" s="194"/>
      <c r="V174" s="194"/>
      <c r="W174" s="194"/>
      <c r="X174" s="194"/>
      <c r="Y174" s="194"/>
      <c r="Z174" s="196"/>
    </row>
    <row r="175" spans="14:26" x14ac:dyDescent="0.25">
      <c r="N175" s="194"/>
      <c r="O175" s="194"/>
      <c r="P175" s="194"/>
      <c r="Q175" s="194"/>
      <c r="R175" s="194"/>
      <c r="S175" s="194"/>
      <c r="T175" s="194"/>
      <c r="U175" s="194"/>
      <c r="V175" s="194"/>
      <c r="W175" s="194"/>
      <c r="X175" s="194"/>
      <c r="Y175" s="194"/>
      <c r="Z175" s="196"/>
    </row>
    <row r="176" spans="14:26" x14ac:dyDescent="0.25">
      <c r="N176" s="194"/>
      <c r="O176" s="194"/>
      <c r="P176" s="194"/>
      <c r="Q176" s="194"/>
      <c r="R176" s="194"/>
      <c r="S176" s="194"/>
      <c r="T176" s="194"/>
      <c r="U176" s="194"/>
      <c r="V176" s="194"/>
      <c r="W176" s="194"/>
      <c r="X176" s="194"/>
      <c r="Y176" s="194"/>
      <c r="Z176" s="196"/>
    </row>
    <row r="177" spans="14:26" x14ac:dyDescent="0.25">
      <c r="N177" s="194"/>
      <c r="O177" s="194"/>
      <c r="P177" s="194"/>
      <c r="Q177" s="194"/>
      <c r="R177" s="194"/>
      <c r="S177" s="194"/>
      <c r="T177" s="194"/>
      <c r="U177" s="194"/>
      <c r="V177" s="194"/>
      <c r="W177" s="194"/>
      <c r="X177" s="194"/>
      <c r="Y177" s="194"/>
      <c r="Z177" s="196"/>
    </row>
    <row r="178" spans="14:26" x14ac:dyDescent="0.25">
      <c r="N178" s="194"/>
      <c r="O178" s="194"/>
      <c r="P178" s="194"/>
      <c r="Q178" s="194"/>
      <c r="R178" s="194"/>
      <c r="S178" s="194"/>
      <c r="T178" s="194"/>
      <c r="U178" s="194"/>
      <c r="V178" s="194"/>
      <c r="W178" s="194"/>
      <c r="X178" s="194"/>
      <c r="Y178" s="194"/>
      <c r="Z178" s="196"/>
    </row>
    <row r="179" spans="14:26" x14ac:dyDescent="0.25">
      <c r="N179" s="194"/>
      <c r="O179" s="194"/>
      <c r="P179" s="194"/>
      <c r="Q179" s="194"/>
      <c r="R179" s="194"/>
      <c r="S179" s="194"/>
      <c r="T179" s="194"/>
      <c r="U179" s="194"/>
      <c r="V179" s="194"/>
      <c r="W179" s="194"/>
      <c r="X179" s="194"/>
      <c r="Y179" s="194"/>
      <c r="Z179" s="196"/>
    </row>
    <row r="180" spans="14:26" x14ac:dyDescent="0.25">
      <c r="N180" s="194"/>
      <c r="O180" s="194"/>
      <c r="P180" s="194"/>
      <c r="Q180" s="194"/>
      <c r="R180" s="194"/>
      <c r="S180" s="194"/>
      <c r="T180" s="194"/>
      <c r="U180" s="194"/>
      <c r="V180" s="194"/>
      <c r="W180" s="194"/>
      <c r="X180" s="194"/>
      <c r="Y180" s="194"/>
      <c r="Z180" s="196"/>
    </row>
    <row r="181" spans="14:26" x14ac:dyDescent="0.25">
      <c r="N181" s="194"/>
      <c r="O181" s="194"/>
      <c r="P181" s="194"/>
      <c r="Q181" s="194"/>
      <c r="R181" s="194"/>
      <c r="S181" s="194"/>
      <c r="T181" s="194"/>
      <c r="U181" s="194"/>
      <c r="V181" s="194"/>
      <c r="W181" s="194"/>
      <c r="X181" s="194"/>
      <c r="Y181" s="194"/>
      <c r="Z181" s="196"/>
    </row>
    <row r="182" spans="14:26" x14ac:dyDescent="0.25">
      <c r="N182" s="194"/>
      <c r="O182" s="194"/>
      <c r="P182" s="194"/>
      <c r="Q182" s="194"/>
      <c r="R182" s="194"/>
      <c r="S182" s="194"/>
      <c r="T182" s="194"/>
      <c r="U182" s="194"/>
      <c r="V182" s="194"/>
      <c r="W182" s="194"/>
      <c r="X182" s="194"/>
      <c r="Y182" s="194"/>
      <c r="Z182" s="196"/>
    </row>
    <row r="183" spans="14:26" x14ac:dyDescent="0.25">
      <c r="N183" s="194"/>
      <c r="O183" s="194"/>
      <c r="P183" s="194"/>
      <c r="Q183" s="194"/>
      <c r="R183" s="194"/>
      <c r="S183" s="194"/>
      <c r="T183" s="194"/>
      <c r="U183" s="194"/>
      <c r="V183" s="194"/>
      <c r="W183" s="194"/>
      <c r="X183" s="194"/>
      <c r="Y183" s="194"/>
      <c r="Z183" s="196"/>
    </row>
    <row r="184" spans="14:26" x14ac:dyDescent="0.25">
      <c r="N184" s="194"/>
      <c r="O184" s="194"/>
      <c r="P184" s="194"/>
      <c r="Q184" s="194"/>
      <c r="R184" s="194"/>
      <c r="S184" s="194"/>
      <c r="T184" s="194"/>
      <c r="U184" s="194"/>
      <c r="V184" s="194"/>
      <c r="W184" s="194"/>
      <c r="X184" s="194"/>
      <c r="Y184" s="194"/>
      <c r="Z184" s="196"/>
    </row>
    <row r="185" spans="14:26" x14ac:dyDescent="0.25">
      <c r="N185" s="194"/>
      <c r="O185" s="194"/>
      <c r="P185" s="194"/>
      <c r="Q185" s="194"/>
      <c r="R185" s="194"/>
      <c r="S185" s="194"/>
      <c r="T185" s="194"/>
      <c r="U185" s="194"/>
      <c r="V185" s="194"/>
      <c r="W185" s="194"/>
      <c r="X185" s="194"/>
      <c r="Y185" s="194"/>
      <c r="Z185" s="196"/>
    </row>
    <row r="186" spans="14:26" x14ac:dyDescent="0.25">
      <c r="N186" s="194"/>
      <c r="O186" s="194"/>
      <c r="P186" s="194"/>
      <c r="Q186" s="194"/>
      <c r="R186" s="194"/>
      <c r="S186" s="194"/>
      <c r="T186" s="194"/>
      <c r="U186" s="194"/>
      <c r="V186" s="194"/>
      <c r="W186" s="194"/>
      <c r="X186" s="194"/>
      <c r="Y186" s="194"/>
      <c r="Z186" s="196"/>
    </row>
    <row r="187" spans="14:26" x14ac:dyDescent="0.25">
      <c r="N187" s="194"/>
      <c r="O187" s="194"/>
      <c r="P187" s="194"/>
      <c r="Q187" s="194"/>
      <c r="R187" s="194"/>
      <c r="S187" s="194"/>
      <c r="T187" s="194"/>
      <c r="U187" s="194"/>
      <c r="V187" s="194"/>
      <c r="W187" s="194"/>
      <c r="X187" s="194"/>
      <c r="Y187" s="194"/>
      <c r="Z187" s="196"/>
    </row>
    <row r="188" spans="14:26" x14ac:dyDescent="0.25">
      <c r="N188" s="194"/>
      <c r="O188" s="194"/>
      <c r="P188" s="194"/>
      <c r="Q188" s="194"/>
      <c r="R188" s="194"/>
      <c r="S188" s="194"/>
      <c r="T188" s="194"/>
      <c r="U188" s="194"/>
      <c r="V188" s="194"/>
      <c r="W188" s="194"/>
      <c r="X188" s="194"/>
      <c r="Y188" s="194"/>
      <c r="Z188" s="196"/>
    </row>
    <row r="189" spans="14:26" x14ac:dyDescent="0.25">
      <c r="N189" s="194"/>
      <c r="O189" s="194"/>
      <c r="P189" s="194"/>
      <c r="Q189" s="194"/>
      <c r="R189" s="194"/>
      <c r="S189" s="194"/>
      <c r="T189" s="194"/>
      <c r="U189" s="194"/>
      <c r="V189" s="194"/>
      <c r="W189" s="194"/>
      <c r="X189" s="194"/>
      <c r="Y189" s="194"/>
      <c r="Z189" s="196"/>
    </row>
    <row r="190" spans="14:26" x14ac:dyDescent="0.25">
      <c r="N190" s="194"/>
      <c r="O190" s="194"/>
      <c r="P190" s="194"/>
      <c r="Q190" s="194"/>
      <c r="R190" s="194"/>
      <c r="S190" s="194"/>
      <c r="T190" s="194"/>
      <c r="U190" s="194"/>
      <c r="V190" s="194"/>
      <c r="W190" s="194"/>
      <c r="X190" s="194"/>
      <c r="Y190" s="194"/>
      <c r="Z190" s="196"/>
    </row>
    <row r="191" spans="14:26" x14ac:dyDescent="0.25">
      <c r="N191" s="194"/>
      <c r="O191" s="194"/>
      <c r="P191" s="194"/>
      <c r="Q191" s="194"/>
      <c r="R191" s="194"/>
      <c r="S191" s="194"/>
      <c r="T191" s="194"/>
      <c r="U191" s="194"/>
      <c r="V191" s="194"/>
      <c r="W191" s="194"/>
      <c r="X191" s="194"/>
      <c r="Y191" s="194"/>
      <c r="Z191" s="196"/>
    </row>
    <row r="192" spans="14:26" x14ac:dyDescent="0.25">
      <c r="N192" s="194"/>
      <c r="O192" s="194"/>
      <c r="P192" s="194"/>
      <c r="Q192" s="194"/>
      <c r="R192" s="194"/>
      <c r="S192" s="194"/>
      <c r="T192" s="194"/>
      <c r="U192" s="194"/>
      <c r="V192" s="194"/>
      <c r="W192" s="194"/>
      <c r="X192" s="194"/>
      <c r="Y192" s="194"/>
      <c r="Z192" s="196"/>
    </row>
    <row r="193" spans="14:26" x14ac:dyDescent="0.25">
      <c r="N193" s="194"/>
      <c r="O193" s="194"/>
      <c r="P193" s="194"/>
      <c r="Q193" s="194"/>
      <c r="R193" s="194"/>
      <c r="S193" s="194"/>
      <c r="T193" s="194"/>
      <c r="U193" s="194"/>
      <c r="V193" s="194"/>
      <c r="W193" s="194"/>
      <c r="X193" s="194"/>
      <c r="Y193" s="194"/>
      <c r="Z193" s="196"/>
    </row>
    <row r="194" spans="14:26" x14ac:dyDescent="0.25">
      <c r="N194" s="194"/>
      <c r="O194" s="194"/>
      <c r="P194" s="194"/>
      <c r="Q194" s="194"/>
      <c r="R194" s="194"/>
      <c r="S194" s="194"/>
      <c r="T194" s="194"/>
      <c r="U194" s="194"/>
      <c r="V194" s="194"/>
      <c r="W194" s="194"/>
      <c r="X194" s="194"/>
      <c r="Y194" s="194"/>
      <c r="Z194" s="196"/>
    </row>
    <row r="195" spans="14:26" x14ac:dyDescent="0.25">
      <c r="N195" s="194"/>
      <c r="O195" s="194"/>
      <c r="P195" s="194"/>
      <c r="Q195" s="194"/>
      <c r="R195" s="194"/>
      <c r="S195" s="194"/>
      <c r="T195" s="194"/>
      <c r="U195" s="194"/>
      <c r="V195" s="194"/>
      <c r="W195" s="194"/>
      <c r="X195" s="194"/>
      <c r="Y195" s="194"/>
      <c r="Z195" s="196"/>
    </row>
    <row r="196" spans="14:26" x14ac:dyDescent="0.25">
      <c r="N196" s="194"/>
      <c r="O196" s="194"/>
      <c r="P196" s="194"/>
      <c r="Q196" s="194"/>
      <c r="R196" s="194"/>
      <c r="S196" s="194"/>
      <c r="T196" s="194"/>
      <c r="U196" s="194"/>
      <c r="V196" s="194"/>
      <c r="W196" s="194"/>
      <c r="X196" s="194"/>
      <c r="Y196" s="194"/>
      <c r="Z196" s="196"/>
    </row>
    <row r="197" spans="14:26" x14ac:dyDescent="0.25">
      <c r="N197" s="194"/>
      <c r="O197" s="194"/>
      <c r="P197" s="194"/>
      <c r="Q197" s="194"/>
      <c r="R197" s="194"/>
      <c r="S197" s="194"/>
      <c r="T197" s="194"/>
      <c r="U197" s="194"/>
      <c r="V197" s="194"/>
      <c r="W197" s="194"/>
      <c r="X197" s="194"/>
      <c r="Y197" s="194"/>
      <c r="Z197" s="196"/>
    </row>
    <row r="198" spans="14:26" x14ac:dyDescent="0.25">
      <c r="N198" s="194"/>
      <c r="O198" s="194"/>
      <c r="P198" s="194"/>
      <c r="Q198" s="194"/>
      <c r="R198" s="194"/>
      <c r="S198" s="194"/>
      <c r="T198" s="194"/>
      <c r="U198" s="194"/>
      <c r="V198" s="194"/>
      <c r="W198" s="194"/>
      <c r="X198" s="194"/>
      <c r="Y198" s="194"/>
      <c r="Z198" s="196"/>
    </row>
    <row r="199" spans="14:26" x14ac:dyDescent="0.25">
      <c r="N199" s="194"/>
      <c r="O199" s="194"/>
      <c r="P199" s="194"/>
      <c r="Q199" s="194"/>
      <c r="R199" s="194"/>
      <c r="S199" s="194"/>
      <c r="T199" s="194"/>
      <c r="U199" s="194"/>
      <c r="V199" s="194"/>
      <c r="W199" s="194"/>
      <c r="X199" s="194"/>
      <c r="Y199" s="194"/>
      <c r="Z199" s="196"/>
    </row>
    <row r="200" spans="14:26" x14ac:dyDescent="0.25">
      <c r="N200" s="194"/>
      <c r="O200" s="194"/>
      <c r="P200" s="194"/>
      <c r="Q200" s="194"/>
      <c r="R200" s="194"/>
      <c r="S200" s="194"/>
      <c r="T200" s="194"/>
      <c r="U200" s="194"/>
      <c r="V200" s="194"/>
      <c r="W200" s="194"/>
      <c r="X200" s="194"/>
      <c r="Y200" s="194"/>
      <c r="Z200" s="196"/>
    </row>
    <row r="201" spans="14:26" x14ac:dyDescent="0.25">
      <c r="N201" s="194"/>
      <c r="O201" s="194"/>
      <c r="P201" s="194"/>
      <c r="Q201" s="194"/>
      <c r="R201" s="194"/>
      <c r="S201" s="194"/>
      <c r="T201" s="194"/>
      <c r="U201" s="194"/>
      <c r="V201" s="194"/>
      <c r="W201" s="194"/>
      <c r="X201" s="194"/>
      <c r="Y201" s="194"/>
      <c r="Z201" s="196"/>
    </row>
    <row r="202" spans="14:26" x14ac:dyDescent="0.25">
      <c r="N202" s="194"/>
      <c r="O202" s="194"/>
      <c r="P202" s="194"/>
      <c r="Q202" s="194"/>
      <c r="R202" s="194"/>
      <c r="S202" s="194"/>
      <c r="T202" s="194"/>
      <c r="U202" s="194"/>
      <c r="V202" s="194"/>
      <c r="W202" s="194"/>
      <c r="X202" s="194"/>
      <c r="Y202" s="194"/>
      <c r="Z202" s="196"/>
    </row>
    <row r="203" spans="14:26" x14ac:dyDescent="0.25">
      <c r="N203" s="194"/>
      <c r="O203" s="194"/>
      <c r="P203" s="194"/>
      <c r="Q203" s="194"/>
      <c r="R203" s="194"/>
      <c r="S203" s="194"/>
      <c r="T203" s="194"/>
      <c r="U203" s="194"/>
      <c r="V203" s="194"/>
      <c r="W203" s="194"/>
      <c r="X203" s="194"/>
      <c r="Y203" s="194"/>
      <c r="Z203" s="196"/>
    </row>
    <row r="204" spans="14:26" x14ac:dyDescent="0.25">
      <c r="N204" s="194"/>
      <c r="O204" s="194"/>
      <c r="P204" s="194"/>
      <c r="Q204" s="194"/>
      <c r="R204" s="194"/>
      <c r="S204" s="194"/>
      <c r="T204" s="194"/>
      <c r="U204" s="194"/>
      <c r="V204" s="194"/>
      <c r="W204" s="194"/>
      <c r="X204" s="194"/>
      <c r="Y204" s="194"/>
      <c r="Z204" s="196"/>
    </row>
    <row r="205" spans="14:26" x14ac:dyDescent="0.25">
      <c r="N205" s="194"/>
      <c r="O205" s="194"/>
      <c r="P205" s="194"/>
      <c r="Q205" s="194"/>
      <c r="R205" s="194"/>
      <c r="S205" s="194"/>
      <c r="T205" s="194"/>
      <c r="U205" s="194"/>
      <c r="V205" s="194"/>
      <c r="W205" s="194"/>
      <c r="X205" s="194"/>
      <c r="Y205" s="194"/>
      <c r="Z205" s="196"/>
    </row>
    <row r="206" spans="14:26" x14ac:dyDescent="0.25">
      <c r="N206" s="194"/>
      <c r="O206" s="194"/>
      <c r="P206" s="194"/>
      <c r="Q206" s="194"/>
      <c r="R206" s="194"/>
      <c r="S206" s="194"/>
      <c r="T206" s="194"/>
      <c r="U206" s="194"/>
      <c r="V206" s="194"/>
      <c r="W206" s="194"/>
      <c r="X206" s="194"/>
      <c r="Y206" s="194"/>
      <c r="Z206" s="196"/>
    </row>
    <row r="207" spans="14:26" x14ac:dyDescent="0.25">
      <c r="N207" s="194"/>
      <c r="O207" s="194"/>
      <c r="P207" s="194"/>
      <c r="Q207" s="194"/>
      <c r="R207" s="194"/>
      <c r="S207" s="194"/>
      <c r="T207" s="194"/>
      <c r="U207" s="194"/>
      <c r="V207" s="194"/>
      <c r="W207" s="194"/>
      <c r="X207" s="194"/>
      <c r="Y207" s="194"/>
      <c r="Z207" s="196"/>
    </row>
    <row r="208" spans="14:26" x14ac:dyDescent="0.25">
      <c r="N208" s="194"/>
      <c r="O208" s="194"/>
      <c r="P208" s="194"/>
      <c r="Q208" s="194"/>
      <c r="R208" s="194"/>
      <c r="S208" s="194"/>
      <c r="T208" s="194"/>
      <c r="U208" s="194"/>
      <c r="V208" s="194"/>
      <c r="W208" s="194"/>
      <c r="X208" s="194"/>
      <c r="Y208" s="194"/>
      <c r="Z208" s="196"/>
    </row>
    <row r="209" spans="14:26" x14ac:dyDescent="0.25">
      <c r="N209" s="194"/>
      <c r="O209" s="194"/>
      <c r="P209" s="194"/>
      <c r="Q209" s="194"/>
      <c r="R209" s="194"/>
      <c r="S209" s="194"/>
      <c r="T209" s="194"/>
      <c r="U209" s="194"/>
      <c r="V209" s="194"/>
      <c r="W209" s="194"/>
      <c r="X209" s="194"/>
      <c r="Y209" s="194"/>
      <c r="Z209" s="196"/>
    </row>
    <row r="210" spans="14:26" x14ac:dyDescent="0.25">
      <c r="N210" s="194"/>
      <c r="O210" s="194"/>
      <c r="P210" s="194"/>
      <c r="Q210" s="194"/>
      <c r="R210" s="194"/>
      <c r="S210" s="194"/>
      <c r="T210" s="194"/>
      <c r="U210" s="194"/>
      <c r="V210" s="194"/>
      <c r="W210" s="194"/>
      <c r="X210" s="194"/>
      <c r="Y210" s="194"/>
      <c r="Z210" s="196"/>
    </row>
    <row r="211" spans="14:26" x14ac:dyDescent="0.25">
      <c r="N211" s="194"/>
      <c r="O211" s="194"/>
      <c r="P211" s="194"/>
      <c r="Q211" s="194"/>
      <c r="R211" s="194"/>
      <c r="S211" s="194"/>
      <c r="T211" s="194"/>
      <c r="U211" s="194"/>
      <c r="V211" s="194"/>
      <c r="W211" s="194"/>
      <c r="X211" s="194"/>
      <c r="Y211" s="194"/>
      <c r="Z211" s="196"/>
    </row>
    <row r="212" spans="14:26" x14ac:dyDescent="0.25">
      <c r="N212" s="194"/>
      <c r="O212" s="194"/>
      <c r="P212" s="194"/>
      <c r="Q212" s="194"/>
      <c r="R212" s="194"/>
      <c r="S212" s="194"/>
      <c r="T212" s="194"/>
      <c r="U212" s="194"/>
      <c r="V212" s="194"/>
      <c r="W212" s="194"/>
      <c r="X212" s="194"/>
      <c r="Y212" s="194"/>
      <c r="Z212" s="196"/>
    </row>
    <row r="213" spans="14:26" x14ac:dyDescent="0.25">
      <c r="N213" s="194"/>
      <c r="O213" s="194"/>
      <c r="P213" s="194"/>
      <c r="Q213" s="194"/>
      <c r="R213" s="194"/>
      <c r="S213" s="194"/>
      <c r="T213" s="194"/>
      <c r="U213" s="194"/>
      <c r="V213" s="194"/>
      <c r="W213" s="194"/>
      <c r="X213" s="194"/>
      <c r="Y213" s="194"/>
      <c r="Z213" s="196"/>
    </row>
    <row r="214" spans="14:26" x14ac:dyDescent="0.25">
      <c r="N214" s="194"/>
      <c r="O214" s="194"/>
      <c r="P214" s="194"/>
      <c r="Q214" s="194"/>
      <c r="R214" s="194"/>
      <c r="S214" s="194"/>
      <c r="T214" s="194"/>
      <c r="U214" s="194"/>
      <c r="V214" s="194"/>
      <c r="W214" s="194"/>
      <c r="X214" s="194"/>
      <c r="Y214" s="194"/>
      <c r="Z214" s="196"/>
    </row>
    <row r="215" spans="14:26" x14ac:dyDescent="0.25">
      <c r="N215" s="194"/>
      <c r="O215" s="194"/>
      <c r="P215" s="194"/>
      <c r="Q215" s="194"/>
      <c r="R215" s="194"/>
      <c r="S215" s="194"/>
      <c r="T215" s="194"/>
      <c r="U215" s="194"/>
      <c r="V215" s="194"/>
      <c r="W215" s="194"/>
      <c r="X215" s="194"/>
      <c r="Y215" s="194"/>
      <c r="Z215" s="196"/>
    </row>
    <row r="216" spans="14:26" x14ac:dyDescent="0.25">
      <c r="N216" s="194"/>
      <c r="O216" s="194"/>
      <c r="P216" s="194"/>
      <c r="Q216" s="194"/>
      <c r="R216" s="194"/>
      <c r="S216" s="194"/>
      <c r="T216" s="194"/>
      <c r="U216" s="194"/>
      <c r="V216" s="194"/>
      <c r="W216" s="194"/>
      <c r="X216" s="194"/>
      <c r="Y216" s="194"/>
      <c r="Z216" s="196"/>
    </row>
    <row r="217" spans="14:26" x14ac:dyDescent="0.25">
      <c r="N217" s="194"/>
      <c r="O217" s="194"/>
      <c r="P217" s="194"/>
      <c r="Q217" s="194"/>
      <c r="R217" s="194"/>
      <c r="S217" s="194"/>
      <c r="T217" s="194"/>
      <c r="U217" s="194"/>
      <c r="V217" s="194"/>
      <c r="W217" s="194"/>
      <c r="X217" s="194"/>
      <c r="Y217" s="194"/>
      <c r="Z217" s="196"/>
    </row>
    <row r="218" spans="14:26" x14ac:dyDescent="0.25">
      <c r="N218" s="194"/>
      <c r="O218" s="194"/>
      <c r="P218" s="194"/>
      <c r="Q218" s="194"/>
      <c r="R218" s="194"/>
      <c r="S218" s="194"/>
      <c r="T218" s="194"/>
      <c r="U218" s="194"/>
      <c r="V218" s="194"/>
      <c r="W218" s="194"/>
      <c r="X218" s="194"/>
      <c r="Y218" s="194"/>
      <c r="Z218" s="196"/>
    </row>
    <row r="219" spans="14:26" x14ac:dyDescent="0.25">
      <c r="N219" s="194"/>
      <c r="O219" s="194"/>
      <c r="P219" s="194"/>
      <c r="Q219" s="194"/>
      <c r="R219" s="194"/>
      <c r="S219" s="194"/>
      <c r="T219" s="194"/>
      <c r="U219" s="194"/>
      <c r="V219" s="194"/>
      <c r="W219" s="194"/>
      <c r="X219" s="194"/>
      <c r="Y219" s="194"/>
      <c r="Z219" s="196"/>
    </row>
    <row r="220" spans="14:26" x14ac:dyDescent="0.25">
      <c r="N220" s="194"/>
      <c r="O220" s="194"/>
      <c r="P220" s="194"/>
      <c r="Q220" s="194"/>
      <c r="R220" s="194"/>
      <c r="S220" s="194"/>
      <c r="T220" s="194"/>
      <c r="U220" s="194"/>
      <c r="V220" s="194"/>
      <c r="W220" s="194"/>
      <c r="X220" s="194"/>
      <c r="Y220" s="194"/>
      <c r="Z220" s="196"/>
    </row>
    <row r="221" spans="14:26" x14ac:dyDescent="0.25">
      <c r="N221" s="194"/>
      <c r="O221" s="194"/>
      <c r="P221" s="194"/>
      <c r="Q221" s="194"/>
      <c r="R221" s="194"/>
      <c r="S221" s="194"/>
      <c r="T221" s="194"/>
      <c r="U221" s="194"/>
      <c r="V221" s="194"/>
      <c r="W221" s="194"/>
      <c r="X221" s="194"/>
      <c r="Y221" s="194"/>
      <c r="Z221" s="196"/>
    </row>
    <row r="222" spans="14:26" x14ac:dyDescent="0.25">
      <c r="N222" s="194"/>
      <c r="O222" s="194"/>
      <c r="P222" s="194"/>
      <c r="Q222" s="194"/>
      <c r="R222" s="194"/>
      <c r="S222" s="194"/>
      <c r="T222" s="194"/>
      <c r="U222" s="194"/>
      <c r="V222" s="194"/>
      <c r="W222" s="194"/>
      <c r="X222" s="194"/>
      <c r="Y222" s="194"/>
      <c r="Z222" s="196"/>
    </row>
    <row r="223" spans="14:26" x14ac:dyDescent="0.25">
      <c r="N223" s="194"/>
      <c r="O223" s="194"/>
      <c r="P223" s="194"/>
      <c r="Q223" s="194"/>
      <c r="R223" s="194"/>
      <c r="S223" s="194"/>
      <c r="T223" s="194"/>
      <c r="U223" s="194"/>
      <c r="V223" s="194"/>
      <c r="W223" s="194"/>
      <c r="X223" s="194"/>
      <c r="Y223" s="194"/>
      <c r="Z223" s="196"/>
    </row>
    <row r="224" spans="14:26" x14ac:dyDescent="0.25">
      <c r="N224" s="194"/>
      <c r="O224" s="194"/>
      <c r="P224" s="194"/>
      <c r="Q224" s="194"/>
      <c r="R224" s="194"/>
      <c r="S224" s="194"/>
      <c r="T224" s="194"/>
      <c r="U224" s="194"/>
      <c r="V224" s="194"/>
      <c r="W224" s="194"/>
      <c r="X224" s="194"/>
      <c r="Y224" s="194"/>
      <c r="Z224" s="196"/>
    </row>
    <row r="225" spans="14:26" x14ac:dyDescent="0.25">
      <c r="N225" s="194"/>
      <c r="O225" s="194"/>
      <c r="P225" s="194"/>
      <c r="Q225" s="194"/>
      <c r="R225" s="194"/>
      <c r="S225" s="194"/>
      <c r="T225" s="194"/>
      <c r="U225" s="194"/>
      <c r="V225" s="194"/>
      <c r="W225" s="194"/>
      <c r="X225" s="194"/>
      <c r="Y225" s="194"/>
      <c r="Z225" s="196"/>
    </row>
    <row r="226" spans="14:26" x14ac:dyDescent="0.25">
      <c r="N226" s="194"/>
      <c r="O226" s="194"/>
      <c r="P226" s="194"/>
      <c r="Q226" s="194"/>
      <c r="R226" s="194"/>
      <c r="S226" s="194"/>
      <c r="T226" s="194"/>
      <c r="U226" s="194"/>
      <c r="V226" s="194"/>
      <c r="W226" s="194"/>
      <c r="X226" s="194"/>
      <c r="Y226" s="194"/>
      <c r="Z226" s="196"/>
    </row>
    <row r="227" spans="14:26" x14ac:dyDescent="0.25">
      <c r="N227" s="194"/>
      <c r="O227" s="194"/>
      <c r="P227" s="194"/>
      <c r="Q227" s="194"/>
      <c r="R227" s="194"/>
      <c r="S227" s="194"/>
      <c r="T227" s="194"/>
      <c r="U227" s="194"/>
      <c r="V227" s="194"/>
      <c r="W227" s="194"/>
      <c r="X227" s="194"/>
      <c r="Y227" s="194"/>
      <c r="Z227" s="196"/>
    </row>
    <row r="228" spans="14:26" x14ac:dyDescent="0.25">
      <c r="N228" s="194"/>
      <c r="O228" s="194"/>
      <c r="P228" s="194"/>
      <c r="Q228" s="194"/>
      <c r="R228" s="194"/>
      <c r="S228" s="194"/>
      <c r="T228" s="194"/>
      <c r="U228" s="194"/>
      <c r="V228" s="194"/>
      <c r="W228" s="194"/>
      <c r="X228" s="194"/>
      <c r="Y228" s="194"/>
      <c r="Z228" s="196"/>
    </row>
    <row r="229" spans="14:26" x14ac:dyDescent="0.25">
      <c r="N229" s="194"/>
      <c r="O229" s="194"/>
      <c r="P229" s="194"/>
      <c r="Q229" s="194"/>
      <c r="R229" s="194"/>
      <c r="S229" s="194"/>
      <c r="T229" s="194"/>
      <c r="U229" s="194"/>
      <c r="V229" s="194"/>
      <c r="W229" s="194"/>
      <c r="X229" s="194"/>
      <c r="Y229" s="194"/>
      <c r="Z229" s="196"/>
    </row>
    <row r="230" spans="14:26" x14ac:dyDescent="0.25">
      <c r="N230" s="194"/>
      <c r="O230" s="194"/>
      <c r="P230" s="194"/>
      <c r="Q230" s="194"/>
      <c r="R230" s="194"/>
      <c r="S230" s="194"/>
      <c r="T230" s="194"/>
      <c r="U230" s="194"/>
      <c r="V230" s="194"/>
      <c r="W230" s="194"/>
      <c r="X230" s="194"/>
      <c r="Y230" s="194"/>
      <c r="Z230" s="196"/>
    </row>
    <row r="231" spans="14:26" x14ac:dyDescent="0.25">
      <c r="N231" s="194"/>
      <c r="O231" s="194"/>
      <c r="P231" s="194"/>
      <c r="Q231" s="194"/>
      <c r="R231" s="194"/>
      <c r="S231" s="194"/>
      <c r="T231" s="194"/>
      <c r="U231" s="194"/>
      <c r="V231" s="194"/>
      <c r="W231" s="194"/>
      <c r="X231" s="194"/>
      <c r="Y231" s="194"/>
      <c r="Z231" s="196"/>
    </row>
    <row r="232" spans="14:26" x14ac:dyDescent="0.25">
      <c r="N232" s="194"/>
      <c r="O232" s="194"/>
      <c r="P232" s="194"/>
      <c r="Q232" s="194"/>
      <c r="R232" s="194"/>
      <c r="S232" s="194"/>
      <c r="T232" s="194"/>
      <c r="U232" s="194"/>
      <c r="V232" s="194"/>
      <c r="W232" s="194"/>
      <c r="X232" s="194"/>
      <c r="Y232" s="194"/>
      <c r="Z232" s="196"/>
    </row>
    <row r="233" spans="14:26" x14ac:dyDescent="0.25">
      <c r="N233" s="194"/>
      <c r="O233" s="194"/>
      <c r="P233" s="194"/>
      <c r="Q233" s="194"/>
      <c r="R233" s="194"/>
      <c r="S233" s="194"/>
      <c r="T233" s="194"/>
      <c r="U233" s="194"/>
      <c r="V233" s="194"/>
      <c r="W233" s="194"/>
      <c r="X233" s="194"/>
      <c r="Y233" s="194"/>
      <c r="Z233" s="196"/>
    </row>
    <row r="234" spans="14:26" x14ac:dyDescent="0.25">
      <c r="N234" s="194"/>
      <c r="O234" s="194"/>
      <c r="P234" s="194"/>
      <c r="Q234" s="194"/>
      <c r="R234" s="194"/>
      <c r="S234" s="194"/>
      <c r="T234" s="194"/>
      <c r="U234" s="194"/>
      <c r="V234" s="194"/>
      <c r="W234" s="194"/>
      <c r="X234" s="194"/>
      <c r="Y234" s="194"/>
      <c r="Z234" s="196"/>
    </row>
    <row r="235" spans="14:26" x14ac:dyDescent="0.25">
      <c r="N235" s="194"/>
      <c r="O235" s="194"/>
      <c r="P235" s="194"/>
      <c r="Q235" s="194"/>
      <c r="R235" s="194"/>
      <c r="S235" s="194"/>
      <c r="T235" s="194"/>
      <c r="U235" s="194"/>
      <c r="V235" s="194"/>
      <c r="W235" s="194"/>
      <c r="X235" s="194"/>
      <c r="Y235" s="194"/>
      <c r="Z235" s="196"/>
    </row>
    <row r="236" spans="14:26" x14ac:dyDescent="0.25">
      <c r="N236" s="194"/>
      <c r="O236" s="194"/>
      <c r="P236" s="194"/>
      <c r="Q236" s="194"/>
      <c r="R236" s="194"/>
      <c r="S236" s="194"/>
      <c r="T236" s="194"/>
      <c r="U236" s="194"/>
      <c r="V236" s="194"/>
      <c r="W236" s="194"/>
      <c r="X236" s="194"/>
      <c r="Y236" s="194"/>
      <c r="Z236" s="196"/>
    </row>
    <row r="237" spans="14:26" x14ac:dyDescent="0.25">
      <c r="N237" s="194"/>
      <c r="O237" s="194"/>
      <c r="P237" s="194"/>
      <c r="Q237" s="194"/>
      <c r="R237" s="194"/>
      <c r="S237" s="194"/>
      <c r="T237" s="194"/>
      <c r="U237" s="194"/>
      <c r="V237" s="194"/>
      <c r="W237" s="194"/>
      <c r="X237" s="194"/>
      <c r="Y237" s="194"/>
      <c r="Z237" s="196"/>
    </row>
    <row r="238" spans="14:26" x14ac:dyDescent="0.25">
      <c r="N238" s="194"/>
      <c r="O238" s="194"/>
      <c r="P238" s="194"/>
      <c r="Q238" s="194"/>
      <c r="R238" s="194"/>
      <c r="S238" s="194"/>
      <c r="T238" s="194"/>
      <c r="U238" s="194"/>
      <c r="V238" s="194"/>
      <c r="W238" s="194"/>
      <c r="X238" s="194"/>
      <c r="Y238" s="194"/>
      <c r="Z238" s="196"/>
    </row>
    <row r="239" spans="14:26" x14ac:dyDescent="0.25">
      <c r="N239" s="194"/>
      <c r="O239" s="194"/>
      <c r="P239" s="194"/>
      <c r="Q239" s="194"/>
      <c r="R239" s="194"/>
      <c r="S239" s="194"/>
      <c r="T239" s="194"/>
      <c r="U239" s="194"/>
      <c r="V239" s="194"/>
      <c r="W239" s="194"/>
      <c r="X239" s="194"/>
      <c r="Y239" s="194"/>
      <c r="Z239" s="196"/>
    </row>
    <row r="240" spans="14:26" x14ac:dyDescent="0.25">
      <c r="N240" s="194"/>
      <c r="O240" s="194"/>
      <c r="P240" s="194"/>
      <c r="Q240" s="194"/>
      <c r="R240" s="194"/>
      <c r="S240" s="194"/>
      <c r="T240" s="194"/>
      <c r="U240" s="194"/>
      <c r="V240" s="194"/>
      <c r="W240" s="194"/>
      <c r="X240" s="194"/>
      <c r="Y240" s="194"/>
      <c r="Z240" s="196"/>
    </row>
    <row r="241" spans="14:26" x14ac:dyDescent="0.25">
      <c r="N241" s="194"/>
      <c r="O241" s="194"/>
      <c r="P241" s="194"/>
      <c r="Q241" s="194"/>
      <c r="R241" s="194"/>
      <c r="S241" s="194"/>
      <c r="T241" s="194"/>
      <c r="U241" s="194"/>
      <c r="V241" s="194"/>
      <c r="W241" s="194"/>
      <c r="X241" s="194"/>
      <c r="Y241" s="194"/>
      <c r="Z241" s="196"/>
    </row>
    <row r="242" spans="14:26" x14ac:dyDescent="0.25">
      <c r="N242" s="194"/>
      <c r="O242" s="194"/>
      <c r="P242" s="194"/>
      <c r="Q242" s="194"/>
      <c r="R242" s="194"/>
      <c r="S242" s="194"/>
      <c r="T242" s="194"/>
      <c r="U242" s="194"/>
      <c r="V242" s="194"/>
      <c r="W242" s="194"/>
      <c r="X242" s="194"/>
      <c r="Y242" s="194"/>
      <c r="Z242" s="196"/>
    </row>
    <row r="243" spans="14:26" x14ac:dyDescent="0.25">
      <c r="N243" s="194"/>
      <c r="O243" s="194"/>
      <c r="P243" s="194"/>
      <c r="Q243" s="194"/>
      <c r="R243" s="194"/>
      <c r="S243" s="194"/>
      <c r="T243" s="194"/>
      <c r="U243" s="194"/>
      <c r="V243" s="194"/>
      <c r="W243" s="194"/>
      <c r="X243" s="194"/>
      <c r="Y243" s="194"/>
      <c r="Z243" s="196"/>
    </row>
    <row r="244" spans="14:26" x14ac:dyDescent="0.25">
      <c r="N244" s="194"/>
      <c r="O244" s="194"/>
      <c r="P244" s="194"/>
      <c r="Q244" s="194"/>
      <c r="R244" s="194"/>
      <c r="S244" s="194"/>
      <c r="T244" s="194"/>
      <c r="U244" s="194"/>
      <c r="V244" s="194"/>
      <c r="W244" s="194"/>
      <c r="X244" s="194"/>
      <c r="Y244" s="194"/>
      <c r="Z244" s="196"/>
    </row>
    <row r="245" spans="14:26" x14ac:dyDescent="0.25">
      <c r="N245" s="194"/>
      <c r="O245" s="194"/>
      <c r="P245" s="194"/>
      <c r="Q245" s="194"/>
      <c r="R245" s="194"/>
      <c r="S245" s="194"/>
      <c r="T245" s="194"/>
      <c r="U245" s="194"/>
      <c r="V245" s="194"/>
      <c r="W245" s="194"/>
      <c r="X245" s="194"/>
      <c r="Y245" s="194"/>
      <c r="Z245" s="196"/>
    </row>
    <row r="246" spans="14:26" x14ac:dyDescent="0.25">
      <c r="N246" s="194"/>
      <c r="O246" s="194"/>
      <c r="P246" s="194"/>
      <c r="Q246" s="194"/>
      <c r="R246" s="194"/>
      <c r="S246" s="194"/>
      <c r="T246" s="194"/>
      <c r="U246" s="194"/>
      <c r="V246" s="194"/>
      <c r="W246" s="194"/>
      <c r="X246" s="194"/>
      <c r="Y246" s="194"/>
      <c r="Z246" s="196"/>
    </row>
    <row r="247" spans="14:26" x14ac:dyDescent="0.25">
      <c r="N247" s="194"/>
      <c r="O247" s="194"/>
      <c r="P247" s="194"/>
      <c r="Q247" s="194"/>
      <c r="R247" s="194"/>
      <c r="S247" s="194"/>
      <c r="T247" s="194"/>
      <c r="U247" s="194"/>
      <c r="V247" s="194"/>
      <c r="W247" s="194"/>
      <c r="X247" s="194"/>
      <c r="Y247" s="194"/>
      <c r="Z247" s="196"/>
    </row>
    <row r="248" spans="14:26" x14ac:dyDescent="0.25">
      <c r="N248" s="194"/>
      <c r="O248" s="194"/>
      <c r="P248" s="194"/>
      <c r="Q248" s="194"/>
      <c r="R248" s="194"/>
      <c r="S248" s="194"/>
      <c r="T248" s="194"/>
      <c r="U248" s="194"/>
      <c r="V248" s="194"/>
      <c r="W248" s="194"/>
      <c r="X248" s="194"/>
      <c r="Y248" s="194"/>
      <c r="Z248" s="196"/>
    </row>
    <row r="249" spans="14:26" x14ac:dyDescent="0.25">
      <c r="N249" s="194"/>
      <c r="O249" s="194"/>
      <c r="P249" s="194"/>
      <c r="Q249" s="194"/>
      <c r="R249" s="194"/>
      <c r="S249" s="194"/>
      <c r="T249" s="194"/>
      <c r="U249" s="194"/>
      <c r="V249" s="194"/>
      <c r="W249" s="194"/>
      <c r="X249" s="194"/>
      <c r="Y249" s="194"/>
      <c r="Z249" s="196"/>
    </row>
    <row r="250" spans="14:26" x14ac:dyDescent="0.25">
      <c r="N250" s="194"/>
      <c r="O250" s="194"/>
      <c r="P250" s="194"/>
      <c r="Q250" s="194"/>
      <c r="R250" s="194"/>
      <c r="S250" s="194"/>
      <c r="T250" s="194"/>
      <c r="U250" s="194"/>
      <c r="V250" s="194"/>
      <c r="W250" s="194"/>
      <c r="X250" s="194"/>
      <c r="Y250" s="194"/>
      <c r="Z250" s="196"/>
    </row>
    <row r="251" spans="14:26" x14ac:dyDescent="0.25">
      <c r="N251" s="194"/>
      <c r="O251" s="194"/>
      <c r="P251" s="194"/>
      <c r="Q251" s="194"/>
      <c r="R251" s="194"/>
      <c r="S251" s="194"/>
      <c r="T251" s="194"/>
      <c r="U251" s="194"/>
      <c r="V251" s="194"/>
      <c r="W251" s="194"/>
      <c r="X251" s="194"/>
      <c r="Y251" s="194"/>
      <c r="Z251" s="196"/>
    </row>
    <row r="252" spans="14:26" x14ac:dyDescent="0.25">
      <c r="N252" s="194"/>
      <c r="O252" s="194"/>
      <c r="P252" s="194"/>
      <c r="Q252" s="194"/>
      <c r="R252" s="194"/>
      <c r="S252" s="194"/>
      <c r="T252" s="194"/>
      <c r="U252" s="194"/>
      <c r="V252" s="194"/>
      <c r="W252" s="194"/>
      <c r="X252" s="194"/>
      <c r="Y252" s="194"/>
      <c r="Z252" s="196"/>
    </row>
    <row r="253" spans="14:26" x14ac:dyDescent="0.25">
      <c r="N253" s="194"/>
      <c r="O253" s="194"/>
      <c r="P253" s="194"/>
      <c r="Q253" s="194"/>
      <c r="R253" s="194"/>
      <c r="S253" s="194"/>
      <c r="T253" s="194"/>
      <c r="U253" s="194"/>
      <c r="V253" s="194"/>
      <c r="W253" s="194"/>
      <c r="X253" s="194"/>
      <c r="Y253" s="194"/>
      <c r="Z253" s="196"/>
    </row>
    <row r="254" spans="14:26" x14ac:dyDescent="0.25">
      <c r="N254" s="194"/>
      <c r="O254" s="194"/>
      <c r="P254" s="194"/>
      <c r="Q254" s="194"/>
      <c r="R254" s="194"/>
      <c r="S254" s="194"/>
      <c r="T254" s="194"/>
      <c r="U254" s="194"/>
      <c r="V254" s="194"/>
      <c r="W254" s="194"/>
      <c r="X254" s="194"/>
      <c r="Y254" s="194"/>
      <c r="Z254" s="196"/>
    </row>
    <row r="255" spans="14:26" x14ac:dyDescent="0.25">
      <c r="N255" s="194"/>
      <c r="O255" s="194"/>
      <c r="P255" s="194"/>
      <c r="Q255" s="194"/>
      <c r="R255" s="194"/>
      <c r="S255" s="194"/>
      <c r="T255" s="194"/>
      <c r="U255" s="194"/>
      <c r="V255" s="194"/>
      <c r="W255" s="194"/>
      <c r="X255" s="194"/>
      <c r="Y255" s="194"/>
      <c r="Z255" s="196"/>
    </row>
    <row r="256" spans="14:26" x14ac:dyDescent="0.25">
      <c r="N256" s="194"/>
      <c r="O256" s="194"/>
      <c r="P256" s="194"/>
      <c r="Q256" s="194"/>
      <c r="R256" s="194"/>
      <c r="S256" s="194"/>
      <c r="T256" s="194"/>
      <c r="U256" s="194"/>
      <c r="V256" s="194"/>
      <c r="W256" s="194"/>
      <c r="X256" s="194"/>
      <c r="Y256" s="194"/>
      <c r="Z256" s="196"/>
    </row>
    <row r="257" spans="14:26" x14ac:dyDescent="0.25">
      <c r="N257" s="194"/>
      <c r="O257" s="194"/>
      <c r="P257" s="194"/>
      <c r="Q257" s="194"/>
      <c r="R257" s="194"/>
      <c r="S257" s="194"/>
      <c r="T257" s="194"/>
      <c r="U257" s="194"/>
      <c r="V257" s="194"/>
      <c r="W257" s="194"/>
      <c r="X257" s="194"/>
      <c r="Y257" s="194"/>
      <c r="Z257" s="196"/>
    </row>
    <row r="258" spans="14:26" x14ac:dyDescent="0.25">
      <c r="N258" s="194"/>
      <c r="O258" s="194"/>
      <c r="P258" s="194"/>
      <c r="Q258" s="194"/>
      <c r="R258" s="194"/>
      <c r="S258" s="194"/>
      <c r="T258" s="194"/>
      <c r="U258" s="194"/>
      <c r="V258" s="194"/>
      <c r="W258" s="194"/>
      <c r="X258" s="194"/>
      <c r="Y258" s="194"/>
      <c r="Z258" s="196"/>
    </row>
    <row r="259" spans="14:26" x14ac:dyDescent="0.25">
      <c r="N259" s="194"/>
      <c r="O259" s="194"/>
      <c r="P259" s="194"/>
      <c r="Q259" s="194"/>
      <c r="R259" s="194"/>
      <c r="S259" s="194"/>
      <c r="T259" s="194"/>
      <c r="U259" s="194"/>
      <c r="V259" s="194"/>
      <c r="W259" s="194"/>
      <c r="X259" s="194"/>
      <c r="Y259" s="194"/>
      <c r="Z259" s="196"/>
    </row>
    <row r="260" spans="14:26" x14ac:dyDescent="0.25">
      <c r="N260" s="194"/>
      <c r="O260" s="194"/>
      <c r="P260" s="194"/>
      <c r="Q260" s="194"/>
      <c r="R260" s="194"/>
      <c r="S260" s="194"/>
      <c r="T260" s="194"/>
      <c r="U260" s="194"/>
      <c r="V260" s="194"/>
      <c r="W260" s="194"/>
      <c r="X260" s="194"/>
      <c r="Y260" s="194"/>
      <c r="Z260" s="196"/>
    </row>
    <row r="261" spans="14:26" x14ac:dyDescent="0.25">
      <c r="N261" s="194"/>
      <c r="O261" s="194"/>
      <c r="P261" s="194"/>
      <c r="Q261" s="194"/>
      <c r="R261" s="194"/>
      <c r="S261" s="194"/>
      <c r="T261" s="194"/>
      <c r="U261" s="194"/>
      <c r="V261" s="194"/>
      <c r="W261" s="194"/>
      <c r="X261" s="194"/>
      <c r="Y261" s="194"/>
      <c r="Z261" s="196"/>
    </row>
    <row r="262" spans="14:26" x14ac:dyDescent="0.25">
      <c r="N262" s="194"/>
      <c r="O262" s="194"/>
      <c r="P262" s="194"/>
      <c r="Q262" s="194"/>
      <c r="R262" s="194"/>
      <c r="S262" s="194"/>
      <c r="T262" s="194"/>
      <c r="U262" s="194"/>
      <c r="V262" s="194"/>
      <c r="W262" s="194"/>
      <c r="X262" s="194"/>
      <c r="Y262" s="194"/>
      <c r="Z262" s="196"/>
    </row>
    <row r="263" spans="14:26" x14ac:dyDescent="0.25">
      <c r="N263" s="194"/>
      <c r="O263" s="194"/>
      <c r="P263" s="194"/>
      <c r="Q263" s="194"/>
      <c r="R263" s="194"/>
      <c r="S263" s="194"/>
      <c r="T263" s="194"/>
      <c r="U263" s="194"/>
      <c r="V263" s="194"/>
      <c r="W263" s="194"/>
      <c r="X263" s="194"/>
      <c r="Y263" s="194"/>
      <c r="Z263" s="196"/>
    </row>
    <row r="264" spans="14:26" x14ac:dyDescent="0.25">
      <c r="N264" s="194"/>
      <c r="O264" s="194"/>
      <c r="P264" s="194"/>
      <c r="Q264" s="194"/>
      <c r="R264" s="194"/>
      <c r="S264" s="194"/>
      <c r="T264" s="194"/>
      <c r="U264" s="194"/>
      <c r="V264" s="194"/>
      <c r="W264" s="194"/>
      <c r="X264" s="194"/>
      <c r="Y264" s="194"/>
      <c r="Z264" s="196"/>
    </row>
    <row r="265" spans="14:26" x14ac:dyDescent="0.25">
      <c r="N265" s="194"/>
      <c r="O265" s="194"/>
      <c r="P265" s="194"/>
      <c r="Q265" s="194"/>
      <c r="R265" s="194"/>
      <c r="S265" s="194"/>
      <c r="T265" s="194"/>
      <c r="U265" s="194"/>
      <c r="V265" s="194"/>
      <c r="W265" s="194"/>
      <c r="X265" s="194"/>
      <c r="Y265" s="194"/>
      <c r="Z265" s="196"/>
    </row>
    <row r="266" spans="14:26" x14ac:dyDescent="0.25">
      <c r="N266" s="194"/>
      <c r="O266" s="194"/>
      <c r="P266" s="194"/>
      <c r="Q266" s="194"/>
      <c r="R266" s="194"/>
      <c r="S266" s="194"/>
      <c r="T266" s="194"/>
      <c r="U266" s="194"/>
      <c r="V266" s="194"/>
      <c r="W266" s="194"/>
      <c r="X266" s="194"/>
      <c r="Y266" s="194"/>
      <c r="Z266" s="196"/>
    </row>
    <row r="267" spans="14:26" x14ac:dyDescent="0.25">
      <c r="N267" s="194"/>
      <c r="O267" s="194"/>
      <c r="P267" s="194"/>
      <c r="Q267" s="194"/>
      <c r="R267" s="194"/>
      <c r="S267" s="194"/>
      <c r="T267" s="194"/>
      <c r="U267" s="194"/>
      <c r="V267" s="194"/>
      <c r="W267" s="194"/>
      <c r="X267" s="194"/>
      <c r="Y267" s="194"/>
      <c r="Z267" s="196"/>
    </row>
    <row r="268" spans="14:26" x14ac:dyDescent="0.25">
      <c r="N268" s="194"/>
      <c r="O268" s="194"/>
      <c r="P268" s="194"/>
      <c r="Q268" s="194"/>
      <c r="R268" s="194"/>
      <c r="S268" s="194"/>
      <c r="T268" s="194"/>
      <c r="U268" s="194"/>
      <c r="V268" s="194"/>
      <c r="W268" s="194"/>
      <c r="X268" s="194"/>
      <c r="Y268" s="194"/>
      <c r="Z268" s="196"/>
    </row>
    <row r="269" spans="14:26" x14ac:dyDescent="0.25">
      <c r="N269" s="194"/>
      <c r="O269" s="194"/>
      <c r="P269" s="194"/>
      <c r="Q269" s="194"/>
      <c r="R269" s="194"/>
      <c r="S269" s="194"/>
      <c r="T269" s="194"/>
      <c r="U269" s="194"/>
      <c r="V269" s="194"/>
      <c r="W269" s="194"/>
      <c r="X269" s="194"/>
      <c r="Y269" s="194"/>
      <c r="Z269" s="196"/>
    </row>
    <row r="270" spans="14:26" x14ac:dyDescent="0.25">
      <c r="N270" s="194"/>
      <c r="O270" s="194"/>
      <c r="P270" s="194"/>
      <c r="Q270" s="194"/>
      <c r="R270" s="194"/>
      <c r="S270" s="194"/>
      <c r="T270" s="194"/>
      <c r="U270" s="194"/>
      <c r="V270" s="194"/>
      <c r="W270" s="194"/>
      <c r="X270" s="194"/>
      <c r="Y270" s="194"/>
      <c r="Z270" s="196"/>
    </row>
    <row r="271" spans="14:26" x14ac:dyDescent="0.25">
      <c r="N271" s="194"/>
      <c r="O271" s="194"/>
      <c r="P271" s="194"/>
      <c r="Q271" s="194"/>
      <c r="R271" s="194"/>
      <c r="S271" s="194"/>
      <c r="T271" s="194"/>
      <c r="U271" s="194"/>
      <c r="V271" s="194"/>
      <c r="W271" s="194"/>
      <c r="X271" s="194"/>
      <c r="Y271" s="194"/>
      <c r="Z271" s="196"/>
    </row>
    <row r="272" spans="14:26" x14ac:dyDescent="0.25">
      <c r="N272" s="194"/>
      <c r="O272" s="194"/>
      <c r="P272" s="194"/>
      <c r="Q272" s="194"/>
      <c r="R272" s="194"/>
      <c r="S272" s="194"/>
      <c r="T272" s="194"/>
      <c r="U272" s="194"/>
      <c r="V272" s="194"/>
      <c r="W272" s="194"/>
      <c r="X272" s="194"/>
      <c r="Y272" s="194"/>
      <c r="Z272" s="196"/>
    </row>
    <row r="273" spans="14:26" x14ac:dyDescent="0.25"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6"/>
    </row>
    <row r="274" spans="14:26" x14ac:dyDescent="0.25">
      <c r="N274" s="194"/>
      <c r="O274" s="194"/>
      <c r="P274" s="194"/>
      <c r="Q274" s="194"/>
      <c r="R274" s="194"/>
      <c r="S274" s="194"/>
      <c r="T274" s="194"/>
      <c r="U274" s="194"/>
      <c r="V274" s="194"/>
      <c r="W274" s="194"/>
      <c r="X274" s="194"/>
      <c r="Y274" s="194"/>
      <c r="Z274" s="196"/>
    </row>
    <row r="275" spans="14:26" x14ac:dyDescent="0.25">
      <c r="N275" s="194"/>
      <c r="O275" s="194"/>
      <c r="P275" s="194"/>
      <c r="Q275" s="194"/>
      <c r="R275" s="194"/>
      <c r="S275" s="194"/>
      <c r="T275" s="194"/>
      <c r="U275" s="194"/>
      <c r="V275" s="194"/>
      <c r="W275" s="194"/>
      <c r="X275" s="194"/>
      <c r="Y275" s="194"/>
      <c r="Z275" s="196"/>
    </row>
    <row r="276" spans="14:26" x14ac:dyDescent="0.25">
      <c r="N276" s="194"/>
      <c r="O276" s="194"/>
      <c r="P276" s="194"/>
      <c r="Q276" s="194"/>
      <c r="R276" s="194"/>
      <c r="S276" s="194"/>
      <c r="T276" s="194"/>
      <c r="U276" s="194"/>
      <c r="V276" s="194"/>
      <c r="W276" s="194"/>
      <c r="X276" s="194"/>
      <c r="Y276" s="194"/>
      <c r="Z276" s="196"/>
    </row>
    <row r="277" spans="14:26" x14ac:dyDescent="0.25">
      <c r="N277" s="194"/>
      <c r="O277" s="194"/>
      <c r="P277" s="194"/>
      <c r="Q277" s="194"/>
      <c r="R277" s="194"/>
      <c r="S277" s="194"/>
      <c r="T277" s="194"/>
      <c r="U277" s="194"/>
      <c r="V277" s="194"/>
      <c r="W277" s="194"/>
      <c r="X277" s="194"/>
      <c r="Y277" s="194"/>
      <c r="Z277" s="196"/>
    </row>
    <row r="278" spans="14:26" x14ac:dyDescent="0.25">
      <c r="N278" s="194"/>
      <c r="O278" s="194"/>
      <c r="P278" s="194"/>
      <c r="Q278" s="194"/>
      <c r="R278" s="194"/>
      <c r="S278" s="194"/>
      <c r="T278" s="194"/>
      <c r="U278" s="194"/>
      <c r="V278" s="194"/>
      <c r="W278" s="194"/>
      <c r="X278" s="194"/>
      <c r="Y278" s="194"/>
      <c r="Z278" s="196"/>
    </row>
    <row r="279" spans="14:26" x14ac:dyDescent="0.25">
      <c r="N279" s="194"/>
      <c r="O279" s="194"/>
      <c r="P279" s="194"/>
      <c r="Q279" s="194"/>
      <c r="R279" s="194"/>
      <c r="S279" s="194"/>
      <c r="T279" s="194"/>
      <c r="U279" s="194"/>
      <c r="V279" s="194"/>
      <c r="W279" s="194"/>
      <c r="X279" s="194"/>
      <c r="Y279" s="194"/>
      <c r="Z279" s="196"/>
    </row>
    <row r="280" spans="14:26" x14ac:dyDescent="0.25">
      <c r="N280" s="194"/>
      <c r="O280" s="194"/>
      <c r="P280" s="194"/>
      <c r="Q280" s="194"/>
      <c r="R280" s="194"/>
      <c r="S280" s="194"/>
      <c r="T280" s="194"/>
      <c r="U280" s="194"/>
      <c r="V280" s="194"/>
      <c r="W280" s="194"/>
      <c r="X280" s="194"/>
      <c r="Y280" s="194"/>
      <c r="Z280" s="196"/>
    </row>
    <row r="281" spans="14:26" x14ac:dyDescent="0.25">
      <c r="N281" s="194"/>
      <c r="O281" s="194"/>
      <c r="P281" s="194"/>
      <c r="Q281" s="194"/>
      <c r="R281" s="194"/>
      <c r="S281" s="194"/>
      <c r="T281" s="194"/>
      <c r="U281" s="194"/>
      <c r="V281" s="194"/>
      <c r="W281" s="194"/>
      <c r="X281" s="194"/>
      <c r="Y281" s="194"/>
      <c r="Z281" s="196"/>
    </row>
    <row r="282" spans="14:26" x14ac:dyDescent="0.25">
      <c r="N282" s="194"/>
      <c r="O282" s="194"/>
      <c r="P282" s="194"/>
      <c r="Q282" s="194"/>
      <c r="R282" s="194"/>
      <c r="S282" s="194"/>
      <c r="T282" s="194"/>
      <c r="U282" s="194"/>
      <c r="V282" s="194"/>
      <c r="W282" s="194"/>
      <c r="X282" s="194"/>
      <c r="Y282" s="194"/>
      <c r="Z282" s="196"/>
    </row>
    <row r="283" spans="14:26" x14ac:dyDescent="0.25">
      <c r="N283" s="194"/>
      <c r="O283" s="194"/>
      <c r="P283" s="194"/>
      <c r="Q283" s="194"/>
      <c r="R283" s="194"/>
      <c r="S283" s="194"/>
      <c r="T283" s="194"/>
      <c r="U283" s="194"/>
      <c r="V283" s="194"/>
      <c r="W283" s="194"/>
      <c r="X283" s="194"/>
      <c r="Y283" s="194"/>
      <c r="Z283" s="196"/>
    </row>
    <row r="284" spans="14:26" x14ac:dyDescent="0.25">
      <c r="N284" s="194"/>
      <c r="O284" s="194"/>
      <c r="P284" s="194"/>
      <c r="Q284" s="194"/>
      <c r="R284" s="194"/>
      <c r="S284" s="194"/>
      <c r="T284" s="194"/>
      <c r="U284" s="194"/>
      <c r="V284" s="194"/>
      <c r="W284" s="194"/>
      <c r="X284" s="194"/>
      <c r="Y284" s="194"/>
      <c r="Z284" s="196"/>
    </row>
    <row r="285" spans="14:26" x14ac:dyDescent="0.25">
      <c r="N285" s="194"/>
      <c r="O285" s="194"/>
      <c r="P285" s="194"/>
      <c r="Q285" s="194"/>
      <c r="R285" s="194"/>
      <c r="S285" s="194"/>
      <c r="T285" s="194"/>
      <c r="U285" s="194"/>
      <c r="V285" s="194"/>
      <c r="W285" s="194"/>
      <c r="X285" s="194"/>
      <c r="Y285" s="194"/>
      <c r="Z285" s="196"/>
    </row>
    <row r="286" spans="14:26" x14ac:dyDescent="0.25">
      <c r="N286" s="194"/>
      <c r="O286" s="194"/>
      <c r="P286" s="194"/>
      <c r="Q286" s="194"/>
      <c r="R286" s="194"/>
      <c r="S286" s="194"/>
      <c r="T286" s="194"/>
      <c r="U286" s="194"/>
      <c r="V286" s="194"/>
      <c r="W286" s="194"/>
      <c r="X286" s="194"/>
      <c r="Y286" s="194"/>
      <c r="Z286" s="196"/>
    </row>
    <row r="287" spans="14:26" x14ac:dyDescent="0.25">
      <c r="N287" s="194"/>
      <c r="O287" s="194"/>
      <c r="P287" s="194"/>
      <c r="Q287" s="194"/>
      <c r="R287" s="194"/>
      <c r="S287" s="194"/>
      <c r="T287" s="194"/>
      <c r="U287" s="194"/>
      <c r="V287" s="194"/>
      <c r="W287" s="194"/>
      <c r="X287" s="194"/>
      <c r="Y287" s="194"/>
      <c r="Z287" s="196"/>
    </row>
    <row r="288" spans="14:26" x14ac:dyDescent="0.25">
      <c r="N288" s="194"/>
      <c r="O288" s="194"/>
      <c r="P288" s="194"/>
      <c r="Q288" s="194"/>
      <c r="R288" s="194"/>
      <c r="S288" s="194"/>
      <c r="T288" s="194"/>
      <c r="U288" s="194"/>
      <c r="V288" s="194"/>
      <c r="W288" s="194"/>
      <c r="X288" s="194"/>
      <c r="Y288" s="194"/>
      <c r="Z288" s="196"/>
    </row>
    <row r="289" spans="14:26" x14ac:dyDescent="0.25">
      <c r="N289" s="194"/>
      <c r="O289" s="194"/>
      <c r="P289" s="194"/>
      <c r="Q289" s="194"/>
      <c r="R289" s="194"/>
      <c r="S289" s="194"/>
      <c r="T289" s="194"/>
      <c r="U289" s="194"/>
      <c r="V289" s="194"/>
      <c r="W289" s="194"/>
      <c r="X289" s="194"/>
      <c r="Y289" s="194"/>
      <c r="Z289" s="196"/>
    </row>
    <row r="290" spans="14:26" x14ac:dyDescent="0.25">
      <c r="N290" s="194"/>
      <c r="O290" s="194"/>
      <c r="P290" s="194"/>
      <c r="Q290" s="194"/>
      <c r="R290" s="194"/>
      <c r="S290" s="194"/>
      <c r="T290" s="194"/>
      <c r="U290" s="194"/>
      <c r="V290" s="194"/>
      <c r="W290" s="194"/>
      <c r="X290" s="194"/>
      <c r="Y290" s="194"/>
      <c r="Z290" s="196"/>
    </row>
    <row r="291" spans="14:26" x14ac:dyDescent="0.25">
      <c r="N291" s="194"/>
      <c r="O291" s="194"/>
      <c r="P291" s="194"/>
      <c r="Q291" s="194"/>
      <c r="R291" s="194"/>
      <c r="S291" s="194"/>
      <c r="T291" s="194"/>
      <c r="U291" s="194"/>
      <c r="V291" s="194"/>
      <c r="W291" s="194"/>
      <c r="X291" s="194"/>
      <c r="Y291" s="194"/>
      <c r="Z291" s="196"/>
    </row>
    <row r="292" spans="14:26" x14ac:dyDescent="0.25">
      <c r="N292" s="194"/>
      <c r="O292" s="194"/>
      <c r="P292" s="194"/>
      <c r="Q292" s="194"/>
      <c r="R292" s="194"/>
      <c r="S292" s="194"/>
      <c r="T292" s="194"/>
      <c r="U292" s="194"/>
      <c r="V292" s="194"/>
      <c r="W292" s="194"/>
      <c r="X292" s="194"/>
      <c r="Y292" s="194"/>
      <c r="Z292" s="196"/>
    </row>
    <row r="293" spans="14:26" x14ac:dyDescent="0.25">
      <c r="N293" s="194"/>
      <c r="O293" s="194"/>
      <c r="P293" s="194"/>
      <c r="Q293" s="194"/>
      <c r="R293" s="194"/>
      <c r="S293" s="194"/>
      <c r="T293" s="194"/>
      <c r="U293" s="194"/>
      <c r="V293" s="194"/>
      <c r="W293" s="194"/>
      <c r="X293" s="194"/>
      <c r="Y293" s="194"/>
      <c r="Z293" s="196"/>
    </row>
    <row r="294" spans="14:26" x14ac:dyDescent="0.25">
      <c r="N294" s="194"/>
      <c r="O294" s="194"/>
      <c r="P294" s="194"/>
      <c r="Q294" s="194"/>
      <c r="R294" s="194"/>
      <c r="S294" s="194"/>
      <c r="T294" s="194"/>
      <c r="U294" s="194"/>
      <c r="V294" s="194"/>
      <c r="W294" s="194"/>
      <c r="X294" s="194"/>
      <c r="Y294" s="194"/>
      <c r="Z294" s="196"/>
    </row>
    <row r="295" spans="14:26" x14ac:dyDescent="0.25">
      <c r="N295" s="194"/>
      <c r="O295" s="194"/>
      <c r="P295" s="194"/>
      <c r="Q295" s="194"/>
      <c r="R295" s="194"/>
      <c r="S295" s="194"/>
      <c r="T295" s="194"/>
      <c r="U295" s="194"/>
      <c r="V295" s="194"/>
      <c r="W295" s="194"/>
      <c r="X295" s="194"/>
      <c r="Y295" s="194"/>
      <c r="Z295" s="196"/>
    </row>
    <row r="296" spans="14:26" x14ac:dyDescent="0.25">
      <c r="N296" s="194"/>
      <c r="O296" s="194"/>
      <c r="P296" s="194"/>
      <c r="Q296" s="194"/>
      <c r="R296" s="194"/>
      <c r="S296" s="194"/>
      <c r="T296" s="194"/>
      <c r="U296" s="194"/>
      <c r="V296" s="194"/>
      <c r="W296" s="194"/>
      <c r="X296" s="194"/>
      <c r="Y296" s="194"/>
      <c r="Z296" s="196"/>
    </row>
    <row r="297" spans="14:26" x14ac:dyDescent="0.25">
      <c r="N297" s="194"/>
      <c r="O297" s="194"/>
      <c r="P297" s="194"/>
      <c r="Q297" s="194"/>
      <c r="R297" s="194"/>
      <c r="S297" s="194"/>
      <c r="T297" s="194"/>
      <c r="U297" s="194"/>
      <c r="V297" s="194"/>
      <c r="W297" s="194"/>
      <c r="X297" s="194"/>
      <c r="Y297" s="194"/>
      <c r="Z297" s="196"/>
    </row>
    <row r="298" spans="14:26" x14ac:dyDescent="0.25">
      <c r="N298" s="194"/>
      <c r="O298" s="194"/>
      <c r="P298" s="194"/>
      <c r="Q298" s="194"/>
      <c r="R298" s="194"/>
      <c r="S298" s="194"/>
      <c r="T298" s="194"/>
      <c r="U298" s="194"/>
      <c r="V298" s="194"/>
      <c r="W298" s="194"/>
      <c r="X298" s="194"/>
      <c r="Y298" s="194"/>
      <c r="Z298" s="196"/>
    </row>
    <row r="299" spans="14:26" x14ac:dyDescent="0.25">
      <c r="N299" s="194"/>
      <c r="O299" s="194"/>
      <c r="P299" s="194"/>
      <c r="Q299" s="194"/>
      <c r="R299" s="194"/>
      <c r="S299" s="194"/>
      <c r="T299" s="194"/>
      <c r="U299" s="194"/>
      <c r="V299" s="194"/>
      <c r="W299" s="194"/>
      <c r="X299" s="194"/>
      <c r="Y299" s="194"/>
      <c r="Z299" s="196"/>
    </row>
    <row r="300" spans="14:26" x14ac:dyDescent="0.25">
      <c r="N300" s="194"/>
      <c r="O300" s="194"/>
      <c r="P300" s="194"/>
      <c r="Q300" s="194"/>
      <c r="R300" s="194"/>
      <c r="S300" s="194"/>
      <c r="T300" s="194"/>
      <c r="U300" s="194"/>
      <c r="V300" s="194"/>
      <c r="W300" s="194"/>
      <c r="X300" s="194"/>
      <c r="Y300" s="194"/>
      <c r="Z300" s="196"/>
    </row>
    <row r="301" spans="14:26" x14ac:dyDescent="0.25">
      <c r="N301" s="194"/>
      <c r="O301" s="194"/>
      <c r="P301" s="194"/>
      <c r="Q301" s="194"/>
      <c r="R301" s="194"/>
      <c r="S301" s="194"/>
      <c r="T301" s="194"/>
      <c r="U301" s="194"/>
      <c r="V301" s="194"/>
      <c r="W301" s="194"/>
      <c r="X301" s="194"/>
      <c r="Y301" s="194"/>
      <c r="Z301" s="196"/>
    </row>
    <row r="302" spans="14:26" x14ac:dyDescent="0.25">
      <c r="N302" s="194"/>
      <c r="O302" s="194"/>
      <c r="P302" s="194"/>
      <c r="Q302" s="194"/>
      <c r="R302" s="194"/>
      <c r="S302" s="194"/>
      <c r="T302" s="194"/>
      <c r="U302" s="194"/>
      <c r="V302" s="194"/>
      <c r="W302" s="194"/>
      <c r="X302" s="194"/>
      <c r="Y302" s="194"/>
      <c r="Z302" s="196"/>
    </row>
    <row r="303" spans="14:26" x14ac:dyDescent="0.25">
      <c r="N303" s="194"/>
      <c r="O303" s="194"/>
      <c r="P303" s="194"/>
      <c r="Q303" s="194"/>
      <c r="R303" s="194"/>
      <c r="S303" s="194"/>
      <c r="T303" s="194"/>
      <c r="U303" s="194"/>
      <c r="V303" s="194"/>
      <c r="W303" s="194"/>
      <c r="X303" s="194"/>
      <c r="Y303" s="194"/>
      <c r="Z303" s="196"/>
    </row>
    <row r="304" spans="14:26" x14ac:dyDescent="0.25">
      <c r="N304" s="194"/>
      <c r="O304" s="194"/>
      <c r="P304" s="194"/>
      <c r="Q304" s="194"/>
      <c r="R304" s="194"/>
      <c r="S304" s="194"/>
      <c r="T304" s="194"/>
      <c r="U304" s="194"/>
      <c r="V304" s="194"/>
      <c r="W304" s="194"/>
      <c r="X304" s="194"/>
      <c r="Y304" s="194"/>
      <c r="Z304" s="196"/>
    </row>
    <row r="305" spans="14:26" x14ac:dyDescent="0.25">
      <c r="N305" s="194"/>
      <c r="O305" s="194"/>
      <c r="P305" s="194"/>
      <c r="Q305" s="194"/>
      <c r="R305" s="194"/>
      <c r="S305" s="194"/>
      <c r="T305" s="194"/>
      <c r="U305" s="194"/>
      <c r="V305" s="194"/>
      <c r="W305" s="194"/>
      <c r="X305" s="194"/>
      <c r="Y305" s="194"/>
      <c r="Z305" s="196"/>
    </row>
    <row r="306" spans="14:26" x14ac:dyDescent="0.25">
      <c r="N306" s="194"/>
      <c r="O306" s="194"/>
      <c r="P306" s="194"/>
      <c r="Q306" s="194"/>
      <c r="R306" s="194"/>
      <c r="S306" s="194"/>
      <c r="T306" s="194"/>
      <c r="U306" s="194"/>
      <c r="V306" s="194"/>
      <c r="W306" s="194"/>
      <c r="X306" s="194"/>
      <c r="Y306" s="194"/>
      <c r="Z306" s="196"/>
    </row>
    <row r="307" spans="14:26" x14ac:dyDescent="0.25">
      <c r="N307" s="194"/>
      <c r="O307" s="194"/>
      <c r="P307" s="194"/>
      <c r="Q307" s="194"/>
      <c r="R307" s="194"/>
      <c r="S307" s="194"/>
      <c r="T307" s="194"/>
      <c r="U307" s="194"/>
      <c r="V307" s="194"/>
      <c r="W307" s="194"/>
      <c r="X307" s="194"/>
      <c r="Y307" s="194"/>
      <c r="Z307" s="196"/>
    </row>
    <row r="308" spans="14:26" x14ac:dyDescent="0.25">
      <c r="N308" s="194"/>
      <c r="O308" s="194"/>
      <c r="P308" s="194"/>
      <c r="Q308" s="194"/>
      <c r="R308" s="194"/>
      <c r="S308" s="194"/>
      <c r="T308" s="194"/>
      <c r="U308" s="194"/>
      <c r="V308" s="194"/>
      <c r="W308" s="194"/>
      <c r="X308" s="194"/>
      <c r="Y308" s="194"/>
      <c r="Z308" s="196"/>
    </row>
    <row r="309" spans="14:26" x14ac:dyDescent="0.25">
      <c r="N309" s="194"/>
      <c r="O309" s="194"/>
      <c r="P309" s="194"/>
      <c r="Q309" s="194"/>
      <c r="R309" s="194"/>
      <c r="S309" s="194"/>
      <c r="T309" s="194"/>
      <c r="U309" s="194"/>
      <c r="V309" s="194"/>
      <c r="W309" s="194"/>
      <c r="X309" s="194"/>
      <c r="Y309" s="194"/>
      <c r="Z309" s="196"/>
    </row>
    <row r="310" spans="14:26" x14ac:dyDescent="0.25">
      <c r="N310" s="194"/>
      <c r="O310" s="194"/>
      <c r="P310" s="194"/>
      <c r="Q310" s="194"/>
      <c r="R310" s="194"/>
      <c r="S310" s="194"/>
      <c r="T310" s="194"/>
      <c r="U310" s="194"/>
      <c r="V310" s="194"/>
      <c r="W310" s="194"/>
      <c r="X310" s="194"/>
      <c r="Y310" s="194"/>
      <c r="Z310" s="196"/>
    </row>
    <row r="311" spans="14:26" x14ac:dyDescent="0.25">
      <c r="N311" s="194"/>
      <c r="O311" s="194"/>
      <c r="P311" s="194"/>
      <c r="Q311" s="194"/>
      <c r="R311" s="194"/>
      <c r="S311" s="194"/>
      <c r="T311" s="194"/>
      <c r="U311" s="194"/>
      <c r="V311" s="194"/>
      <c r="W311" s="194"/>
      <c r="X311" s="194"/>
      <c r="Y311" s="194"/>
      <c r="Z311" s="196"/>
    </row>
    <row r="312" spans="14:26" x14ac:dyDescent="0.25"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6"/>
    </row>
    <row r="313" spans="14:26" x14ac:dyDescent="0.25">
      <c r="N313" s="194"/>
      <c r="O313" s="194"/>
      <c r="P313" s="194"/>
      <c r="Q313" s="194"/>
      <c r="R313" s="194"/>
      <c r="S313" s="194"/>
      <c r="T313" s="194"/>
      <c r="U313" s="194"/>
      <c r="V313" s="194"/>
      <c r="W313" s="194"/>
      <c r="X313" s="194"/>
      <c r="Y313" s="194"/>
      <c r="Z313" s="196"/>
    </row>
    <row r="314" spans="14:26" x14ac:dyDescent="0.25">
      <c r="N314" s="194"/>
      <c r="O314" s="194"/>
      <c r="P314" s="194"/>
      <c r="Q314" s="194"/>
      <c r="R314" s="194"/>
      <c r="S314" s="194"/>
      <c r="T314" s="194"/>
      <c r="U314" s="194"/>
      <c r="V314" s="194"/>
      <c r="W314" s="194"/>
      <c r="X314" s="194"/>
      <c r="Y314" s="194"/>
      <c r="Z314" s="196"/>
    </row>
    <row r="315" spans="14:26" x14ac:dyDescent="0.25">
      <c r="N315" s="194"/>
      <c r="O315" s="194"/>
      <c r="P315" s="194"/>
      <c r="Q315" s="194"/>
      <c r="R315" s="194"/>
      <c r="S315" s="194"/>
      <c r="T315" s="194"/>
      <c r="U315" s="194"/>
      <c r="V315" s="194"/>
      <c r="W315" s="194"/>
      <c r="X315" s="194"/>
      <c r="Y315" s="194"/>
      <c r="Z315" s="196"/>
    </row>
    <row r="316" spans="14:26" x14ac:dyDescent="0.25">
      <c r="N316" s="194"/>
      <c r="O316" s="194"/>
      <c r="P316" s="194"/>
      <c r="Q316" s="194"/>
      <c r="R316" s="194"/>
      <c r="S316" s="194"/>
      <c r="T316" s="194"/>
      <c r="U316" s="194"/>
      <c r="V316" s="194"/>
      <c r="W316" s="194"/>
      <c r="X316" s="194"/>
      <c r="Y316" s="194"/>
      <c r="Z316" s="196"/>
    </row>
    <row r="317" spans="14:26" x14ac:dyDescent="0.25">
      <c r="N317" s="194"/>
      <c r="O317" s="194"/>
      <c r="P317" s="194"/>
      <c r="Q317" s="194"/>
      <c r="R317" s="194"/>
      <c r="S317" s="194"/>
      <c r="T317" s="194"/>
      <c r="U317" s="194"/>
      <c r="V317" s="194"/>
      <c r="W317" s="194"/>
      <c r="X317" s="194"/>
      <c r="Y317" s="194"/>
      <c r="Z317" s="196"/>
    </row>
    <row r="318" spans="14:26" x14ac:dyDescent="0.25">
      <c r="N318" s="194"/>
      <c r="O318" s="194"/>
      <c r="P318" s="194"/>
      <c r="Q318" s="194"/>
      <c r="R318" s="194"/>
      <c r="S318" s="194"/>
      <c r="T318" s="194"/>
      <c r="U318" s="194"/>
      <c r="V318" s="194"/>
      <c r="W318" s="194"/>
      <c r="X318" s="194"/>
      <c r="Y318" s="194"/>
      <c r="Z318" s="196"/>
    </row>
    <row r="319" spans="14:26" x14ac:dyDescent="0.25">
      <c r="N319" s="194"/>
      <c r="O319" s="194"/>
      <c r="P319" s="194"/>
      <c r="Q319" s="194"/>
      <c r="R319" s="194"/>
      <c r="S319" s="194"/>
      <c r="T319" s="194"/>
      <c r="U319" s="194"/>
      <c r="V319" s="194"/>
      <c r="W319" s="194"/>
      <c r="X319" s="194"/>
      <c r="Y319" s="194"/>
      <c r="Z319" s="196"/>
    </row>
    <row r="320" spans="14:26" x14ac:dyDescent="0.25">
      <c r="N320" s="194"/>
      <c r="O320" s="194"/>
      <c r="P320" s="194"/>
      <c r="Q320" s="194"/>
      <c r="R320" s="194"/>
      <c r="S320" s="194"/>
      <c r="T320" s="194"/>
      <c r="U320" s="194"/>
      <c r="V320" s="194"/>
      <c r="W320" s="194"/>
      <c r="X320" s="194"/>
      <c r="Y320" s="194"/>
      <c r="Z320" s="196"/>
    </row>
    <row r="321" spans="14:26" x14ac:dyDescent="0.25">
      <c r="N321" s="194"/>
      <c r="O321" s="194"/>
      <c r="P321" s="194"/>
      <c r="Q321" s="194"/>
      <c r="R321" s="194"/>
      <c r="S321" s="194"/>
      <c r="T321" s="194"/>
      <c r="U321" s="194"/>
      <c r="V321" s="194"/>
      <c r="W321" s="194"/>
      <c r="X321" s="194"/>
      <c r="Y321" s="194"/>
      <c r="Z321" s="196"/>
    </row>
    <row r="322" spans="14:26" x14ac:dyDescent="0.25">
      <c r="N322" s="194"/>
      <c r="O322" s="194"/>
      <c r="P322" s="194"/>
      <c r="Q322" s="194"/>
      <c r="R322" s="194"/>
      <c r="S322" s="194"/>
      <c r="T322" s="194"/>
      <c r="U322" s="194"/>
      <c r="V322" s="194"/>
      <c r="W322" s="194"/>
      <c r="X322" s="194"/>
      <c r="Y322" s="194"/>
      <c r="Z322" s="196"/>
    </row>
    <row r="323" spans="14:26" x14ac:dyDescent="0.25">
      <c r="N323" s="194"/>
      <c r="O323" s="194"/>
      <c r="P323" s="194"/>
      <c r="Q323" s="194"/>
      <c r="R323" s="194"/>
      <c r="S323" s="194"/>
      <c r="T323" s="194"/>
      <c r="U323" s="194"/>
      <c r="V323" s="194"/>
      <c r="W323" s="194"/>
      <c r="X323" s="194"/>
      <c r="Y323" s="194"/>
      <c r="Z323" s="196"/>
    </row>
    <row r="324" spans="14:26" x14ac:dyDescent="0.25">
      <c r="N324" s="194"/>
      <c r="O324" s="194"/>
      <c r="P324" s="194"/>
      <c r="Q324" s="194"/>
      <c r="R324" s="194"/>
      <c r="S324" s="194"/>
      <c r="T324" s="194"/>
      <c r="U324" s="194"/>
      <c r="V324" s="194"/>
      <c r="W324" s="194"/>
      <c r="X324" s="194"/>
      <c r="Y324" s="194"/>
      <c r="Z324" s="196"/>
    </row>
    <row r="325" spans="14:26" x14ac:dyDescent="0.25">
      <c r="N325" s="194"/>
      <c r="O325" s="194"/>
      <c r="P325" s="194"/>
      <c r="Q325" s="194"/>
      <c r="R325" s="194"/>
      <c r="S325" s="194"/>
      <c r="T325" s="194"/>
      <c r="U325" s="194"/>
      <c r="V325" s="194"/>
      <c r="W325" s="194"/>
      <c r="X325" s="194"/>
      <c r="Y325" s="194"/>
      <c r="Z325" s="196"/>
    </row>
    <row r="326" spans="14:26" x14ac:dyDescent="0.25">
      <c r="N326" s="194"/>
      <c r="O326" s="194"/>
      <c r="P326" s="194"/>
      <c r="Q326" s="194"/>
      <c r="R326" s="194"/>
      <c r="S326" s="194"/>
      <c r="T326" s="194"/>
      <c r="U326" s="194"/>
      <c r="V326" s="194"/>
      <c r="W326" s="194"/>
      <c r="X326" s="194"/>
      <c r="Y326" s="194"/>
      <c r="Z326" s="196"/>
    </row>
    <row r="327" spans="14:26" x14ac:dyDescent="0.25">
      <c r="N327" s="194"/>
      <c r="O327" s="194"/>
      <c r="P327" s="194"/>
      <c r="Q327" s="194"/>
      <c r="R327" s="194"/>
      <c r="S327" s="194"/>
      <c r="T327" s="194"/>
      <c r="U327" s="194"/>
      <c r="V327" s="194"/>
      <c r="W327" s="194"/>
      <c r="X327" s="194"/>
      <c r="Y327" s="194"/>
      <c r="Z327" s="196"/>
    </row>
    <row r="328" spans="14:26" x14ac:dyDescent="0.25">
      <c r="N328" s="194"/>
      <c r="O328" s="194"/>
      <c r="P328" s="194"/>
      <c r="Q328" s="194"/>
      <c r="R328" s="194"/>
      <c r="S328" s="194"/>
      <c r="T328" s="194"/>
      <c r="U328" s="194"/>
      <c r="V328" s="194"/>
      <c r="W328" s="194"/>
      <c r="X328" s="194"/>
      <c r="Y328" s="194"/>
      <c r="Z328" s="196"/>
    </row>
    <row r="329" spans="14:26" x14ac:dyDescent="0.25">
      <c r="N329" s="194"/>
      <c r="O329" s="194"/>
      <c r="P329" s="194"/>
      <c r="Q329" s="194"/>
      <c r="R329" s="194"/>
      <c r="S329" s="194"/>
      <c r="T329" s="194"/>
      <c r="U329" s="194"/>
      <c r="V329" s="194"/>
      <c r="W329" s="194"/>
      <c r="X329" s="194"/>
      <c r="Y329" s="194"/>
      <c r="Z329" s="196"/>
    </row>
    <row r="330" spans="14:26" x14ac:dyDescent="0.25">
      <c r="N330" s="194"/>
      <c r="O330" s="194"/>
      <c r="P330" s="194"/>
      <c r="Q330" s="194"/>
      <c r="R330" s="194"/>
      <c r="S330" s="194"/>
      <c r="T330" s="194"/>
      <c r="U330" s="194"/>
      <c r="V330" s="194"/>
      <c r="W330" s="194"/>
      <c r="X330" s="194"/>
      <c r="Y330" s="194"/>
      <c r="Z330" s="196"/>
    </row>
    <row r="331" spans="14:26" x14ac:dyDescent="0.25">
      <c r="N331" s="194"/>
      <c r="O331" s="194"/>
      <c r="P331" s="194"/>
      <c r="Q331" s="194"/>
      <c r="R331" s="194"/>
      <c r="S331" s="194"/>
      <c r="T331" s="194"/>
      <c r="U331" s="194"/>
      <c r="V331" s="194"/>
      <c r="W331" s="194"/>
      <c r="X331" s="194"/>
      <c r="Y331" s="194"/>
      <c r="Z331" s="196"/>
    </row>
    <row r="332" spans="14:26" x14ac:dyDescent="0.25">
      <c r="N332" s="194"/>
      <c r="O332" s="194"/>
      <c r="P332" s="194"/>
      <c r="Q332" s="194"/>
      <c r="R332" s="194"/>
      <c r="S332" s="194"/>
      <c r="T332" s="194"/>
      <c r="U332" s="194"/>
      <c r="V332" s="194"/>
      <c r="W332" s="194"/>
      <c r="X332" s="194"/>
      <c r="Y332" s="194"/>
      <c r="Z332" s="196"/>
    </row>
    <row r="333" spans="14:26" x14ac:dyDescent="0.25">
      <c r="N333" s="194"/>
      <c r="O333" s="194"/>
      <c r="P333" s="194"/>
      <c r="Q333" s="194"/>
      <c r="R333" s="194"/>
      <c r="S333" s="194"/>
      <c r="T333" s="194"/>
      <c r="U333" s="194"/>
      <c r="V333" s="194"/>
      <c r="W333" s="194"/>
      <c r="X333" s="194"/>
      <c r="Y333" s="194"/>
      <c r="Z333" s="196"/>
    </row>
    <row r="334" spans="14:26" x14ac:dyDescent="0.25">
      <c r="N334" s="194"/>
      <c r="O334" s="194"/>
      <c r="P334" s="194"/>
      <c r="Q334" s="194"/>
      <c r="R334" s="194"/>
      <c r="S334" s="194"/>
      <c r="T334" s="194"/>
      <c r="U334" s="194"/>
      <c r="V334" s="194"/>
      <c r="W334" s="194"/>
      <c r="X334" s="194"/>
      <c r="Y334" s="194"/>
      <c r="Z334" s="196"/>
    </row>
    <row r="335" spans="14:26" x14ac:dyDescent="0.25">
      <c r="N335" s="194"/>
      <c r="O335" s="194"/>
      <c r="P335" s="194"/>
      <c r="Q335" s="194"/>
      <c r="R335" s="194"/>
      <c r="S335" s="194"/>
      <c r="T335" s="194"/>
      <c r="U335" s="194"/>
      <c r="V335" s="194"/>
      <c r="W335" s="194"/>
      <c r="X335" s="194"/>
      <c r="Y335" s="194"/>
      <c r="Z335" s="196"/>
    </row>
    <row r="336" spans="14:26" x14ac:dyDescent="0.25">
      <c r="N336" s="194"/>
      <c r="O336" s="194"/>
      <c r="P336" s="194"/>
      <c r="Q336" s="194"/>
      <c r="R336" s="194"/>
      <c r="S336" s="194"/>
      <c r="T336" s="194"/>
      <c r="U336" s="194"/>
      <c r="V336" s="194"/>
      <c r="W336" s="194"/>
      <c r="X336" s="194"/>
      <c r="Y336" s="194"/>
      <c r="Z336" s="196"/>
    </row>
    <row r="337" spans="14:26" x14ac:dyDescent="0.25">
      <c r="N337" s="194"/>
      <c r="O337" s="194"/>
      <c r="P337" s="194"/>
      <c r="Q337" s="194"/>
      <c r="R337" s="194"/>
      <c r="S337" s="194"/>
      <c r="T337" s="194"/>
      <c r="U337" s="194"/>
      <c r="V337" s="194"/>
      <c r="W337" s="194"/>
      <c r="X337" s="194"/>
      <c r="Y337" s="194"/>
      <c r="Z337" s="196"/>
    </row>
    <row r="338" spans="14:26" x14ac:dyDescent="0.25">
      <c r="N338" s="194"/>
      <c r="O338" s="194"/>
      <c r="P338" s="194"/>
      <c r="Q338" s="194"/>
      <c r="R338" s="194"/>
      <c r="S338" s="194"/>
      <c r="T338" s="194"/>
      <c r="U338" s="194"/>
      <c r="V338" s="194"/>
      <c r="W338" s="194"/>
      <c r="X338" s="194"/>
      <c r="Y338" s="194"/>
      <c r="Z338" s="196"/>
    </row>
    <row r="339" spans="14:26" x14ac:dyDescent="0.25">
      <c r="N339" s="194"/>
      <c r="O339" s="194"/>
      <c r="P339" s="194"/>
      <c r="Q339" s="194"/>
      <c r="R339" s="194"/>
      <c r="S339" s="194"/>
      <c r="T339" s="194"/>
      <c r="U339" s="194"/>
      <c r="V339" s="194"/>
      <c r="W339" s="194"/>
      <c r="X339" s="194"/>
      <c r="Y339" s="194"/>
      <c r="Z339" s="196"/>
    </row>
    <row r="340" spans="14:26" x14ac:dyDescent="0.25">
      <c r="N340" s="194"/>
      <c r="O340" s="194"/>
      <c r="P340" s="194"/>
      <c r="Q340" s="194"/>
      <c r="R340" s="194"/>
      <c r="S340" s="194"/>
      <c r="T340" s="194"/>
      <c r="U340" s="194"/>
      <c r="V340" s="194"/>
      <c r="W340" s="194"/>
      <c r="X340" s="194"/>
      <c r="Y340" s="194"/>
      <c r="Z340" s="196"/>
    </row>
    <row r="341" spans="14:26" x14ac:dyDescent="0.25">
      <c r="N341" s="194"/>
      <c r="O341" s="194"/>
      <c r="P341" s="194"/>
      <c r="Q341" s="194"/>
      <c r="R341" s="194"/>
      <c r="S341" s="194"/>
      <c r="T341" s="194"/>
      <c r="U341" s="194"/>
      <c r="V341" s="194"/>
      <c r="W341" s="194"/>
      <c r="X341" s="194"/>
      <c r="Y341" s="194"/>
      <c r="Z341" s="196"/>
    </row>
    <row r="342" spans="14:26" x14ac:dyDescent="0.25">
      <c r="N342" s="194"/>
      <c r="O342" s="194"/>
      <c r="P342" s="194"/>
      <c r="Q342" s="194"/>
      <c r="R342" s="194"/>
      <c r="S342" s="194"/>
      <c r="T342" s="194"/>
      <c r="U342" s="194"/>
      <c r="V342" s="194"/>
      <c r="W342" s="194"/>
      <c r="X342" s="194"/>
      <c r="Y342" s="194"/>
      <c r="Z342" s="196"/>
    </row>
    <row r="343" spans="14:26" x14ac:dyDescent="0.25">
      <c r="N343" s="194"/>
      <c r="O343" s="194"/>
      <c r="P343" s="194"/>
      <c r="Q343" s="194"/>
      <c r="R343" s="194"/>
      <c r="S343" s="194"/>
      <c r="T343" s="194"/>
      <c r="U343" s="194"/>
      <c r="V343" s="194"/>
      <c r="W343" s="194"/>
      <c r="X343" s="194"/>
      <c r="Y343" s="194"/>
      <c r="Z343" s="196"/>
    </row>
    <row r="344" spans="14:26" x14ac:dyDescent="0.25">
      <c r="N344" s="194"/>
      <c r="O344" s="194"/>
      <c r="P344" s="194"/>
      <c r="Q344" s="194"/>
      <c r="R344" s="194"/>
      <c r="S344" s="194"/>
      <c r="T344" s="194"/>
      <c r="U344" s="194"/>
      <c r="V344" s="194"/>
      <c r="W344" s="194"/>
      <c r="X344" s="194"/>
      <c r="Y344" s="194"/>
      <c r="Z344" s="196"/>
    </row>
    <row r="345" spans="14:26" x14ac:dyDescent="0.25">
      <c r="N345" s="194"/>
      <c r="O345" s="194"/>
      <c r="P345" s="194"/>
      <c r="Q345" s="194"/>
      <c r="R345" s="194"/>
      <c r="S345" s="194"/>
      <c r="T345" s="194"/>
      <c r="U345" s="194"/>
      <c r="V345" s="194"/>
      <c r="W345" s="194"/>
      <c r="X345" s="194"/>
      <c r="Y345" s="194"/>
      <c r="Z345" s="196"/>
    </row>
    <row r="346" spans="14:26" x14ac:dyDescent="0.25">
      <c r="N346" s="194"/>
      <c r="O346" s="194"/>
      <c r="P346" s="194"/>
      <c r="Q346" s="194"/>
      <c r="R346" s="194"/>
      <c r="S346" s="194"/>
      <c r="T346" s="194"/>
      <c r="U346" s="194"/>
      <c r="V346" s="194"/>
      <c r="W346" s="194"/>
      <c r="X346" s="194"/>
      <c r="Y346" s="194"/>
      <c r="Z346" s="196"/>
    </row>
    <row r="347" spans="14:26" x14ac:dyDescent="0.25">
      <c r="N347" s="194"/>
      <c r="O347" s="194"/>
      <c r="P347" s="194"/>
      <c r="Q347" s="194"/>
      <c r="R347" s="194"/>
      <c r="S347" s="194"/>
      <c r="T347" s="194"/>
      <c r="U347" s="194"/>
      <c r="V347" s="194"/>
      <c r="W347" s="194"/>
      <c r="X347" s="194"/>
      <c r="Y347" s="194"/>
      <c r="Z347" s="196"/>
    </row>
    <row r="348" spans="14:26" x14ac:dyDescent="0.25">
      <c r="N348" s="194"/>
      <c r="O348" s="194"/>
      <c r="P348" s="194"/>
      <c r="Q348" s="194"/>
      <c r="R348" s="194"/>
      <c r="S348" s="194"/>
      <c r="T348" s="194"/>
      <c r="U348" s="194"/>
      <c r="V348" s="194"/>
      <c r="W348" s="194"/>
      <c r="X348" s="194"/>
      <c r="Y348" s="194"/>
      <c r="Z348" s="196"/>
    </row>
    <row r="349" spans="14:26" x14ac:dyDescent="0.25">
      <c r="N349" s="194"/>
      <c r="O349" s="194"/>
      <c r="P349" s="194"/>
      <c r="Q349" s="194"/>
      <c r="R349" s="194"/>
      <c r="S349" s="194"/>
      <c r="T349" s="194"/>
      <c r="U349" s="194"/>
      <c r="V349" s="194"/>
      <c r="W349" s="194"/>
      <c r="X349" s="194"/>
      <c r="Y349" s="194"/>
      <c r="Z349" s="196"/>
    </row>
    <row r="350" spans="14:26" x14ac:dyDescent="0.25">
      <c r="N350" s="194"/>
      <c r="O350" s="194"/>
      <c r="P350" s="194"/>
      <c r="Q350" s="194"/>
      <c r="R350" s="194"/>
      <c r="S350" s="194"/>
      <c r="T350" s="194"/>
      <c r="U350" s="194"/>
      <c r="V350" s="194"/>
      <c r="W350" s="194"/>
      <c r="X350" s="194"/>
      <c r="Y350" s="194"/>
      <c r="Z350" s="196"/>
    </row>
    <row r="351" spans="14:26" x14ac:dyDescent="0.25">
      <c r="N351" s="194"/>
      <c r="O351" s="194"/>
      <c r="P351" s="194"/>
      <c r="Q351" s="194"/>
      <c r="R351" s="194"/>
      <c r="S351" s="194"/>
      <c r="T351" s="194"/>
      <c r="U351" s="194"/>
      <c r="V351" s="194"/>
      <c r="W351" s="194"/>
      <c r="X351" s="194"/>
      <c r="Y351" s="194"/>
      <c r="Z351" s="196"/>
    </row>
    <row r="352" spans="14:26" x14ac:dyDescent="0.25">
      <c r="N352" s="194"/>
      <c r="O352" s="194"/>
      <c r="P352" s="194"/>
      <c r="Q352" s="194"/>
      <c r="R352" s="194"/>
      <c r="S352" s="194"/>
      <c r="T352" s="194"/>
      <c r="U352" s="194"/>
      <c r="V352" s="194"/>
      <c r="W352" s="194"/>
      <c r="X352" s="194"/>
      <c r="Y352" s="194"/>
      <c r="Z352" s="196"/>
    </row>
    <row r="353" spans="14:26" x14ac:dyDescent="0.25">
      <c r="N353" s="194"/>
      <c r="O353" s="194"/>
      <c r="P353" s="194"/>
      <c r="Q353" s="194"/>
      <c r="R353" s="194"/>
      <c r="S353" s="194"/>
      <c r="T353" s="194"/>
      <c r="U353" s="194"/>
      <c r="V353" s="194"/>
      <c r="W353" s="194"/>
      <c r="X353" s="194"/>
      <c r="Y353" s="194"/>
      <c r="Z353" s="196"/>
    </row>
    <row r="354" spans="14:26" x14ac:dyDescent="0.25">
      <c r="N354" s="194"/>
      <c r="O354" s="194"/>
      <c r="P354" s="194"/>
      <c r="Q354" s="194"/>
      <c r="R354" s="194"/>
      <c r="S354" s="194"/>
      <c r="T354" s="194"/>
      <c r="U354" s="194"/>
      <c r="V354" s="194"/>
      <c r="W354" s="194"/>
      <c r="X354" s="194"/>
      <c r="Y354" s="194"/>
      <c r="Z354" s="196"/>
    </row>
    <row r="355" spans="14:26" x14ac:dyDescent="0.25">
      <c r="N355" s="194"/>
      <c r="O355" s="194"/>
      <c r="P355" s="194"/>
      <c r="Q355" s="194"/>
      <c r="R355" s="194"/>
      <c r="S355" s="194"/>
      <c r="T355" s="194"/>
      <c r="U355" s="194"/>
      <c r="V355" s="194"/>
      <c r="W355" s="194"/>
      <c r="X355" s="194"/>
      <c r="Y355" s="194"/>
      <c r="Z355" s="196"/>
    </row>
    <row r="356" spans="14:26" x14ac:dyDescent="0.25">
      <c r="N356" s="194"/>
      <c r="O356" s="194"/>
      <c r="P356" s="194"/>
      <c r="Q356" s="194"/>
      <c r="R356" s="194"/>
      <c r="S356" s="194"/>
      <c r="T356" s="194"/>
      <c r="U356" s="194"/>
      <c r="V356" s="194"/>
      <c r="W356" s="194"/>
      <c r="X356" s="194"/>
      <c r="Y356" s="194"/>
      <c r="Z356" s="196"/>
    </row>
    <row r="357" spans="14:26" x14ac:dyDescent="0.25">
      <c r="N357" s="194"/>
      <c r="O357" s="194"/>
      <c r="P357" s="194"/>
      <c r="Q357" s="194"/>
      <c r="R357" s="194"/>
      <c r="S357" s="194"/>
      <c r="T357" s="194"/>
      <c r="U357" s="194"/>
      <c r="V357" s="194"/>
      <c r="W357" s="194"/>
      <c r="X357" s="194"/>
      <c r="Y357" s="194"/>
      <c r="Z357" s="196"/>
    </row>
    <row r="358" spans="14:26" x14ac:dyDescent="0.25">
      <c r="N358" s="194"/>
      <c r="O358" s="194"/>
      <c r="P358" s="194"/>
      <c r="Q358" s="194"/>
      <c r="R358" s="194"/>
      <c r="S358" s="194"/>
      <c r="T358" s="194"/>
      <c r="U358" s="194"/>
      <c r="V358" s="194"/>
      <c r="W358" s="194"/>
      <c r="X358" s="194"/>
      <c r="Y358" s="194"/>
      <c r="Z358" s="196"/>
    </row>
    <row r="359" spans="14:26" x14ac:dyDescent="0.25">
      <c r="N359" s="194"/>
      <c r="O359" s="194"/>
      <c r="P359" s="194"/>
      <c r="Q359" s="194"/>
      <c r="R359" s="194"/>
      <c r="S359" s="194"/>
      <c r="T359" s="194"/>
      <c r="U359" s="194"/>
      <c r="V359" s="194"/>
      <c r="W359" s="194"/>
      <c r="X359" s="194"/>
      <c r="Y359" s="194"/>
      <c r="Z359" s="196"/>
    </row>
    <row r="360" spans="14:26" x14ac:dyDescent="0.25">
      <c r="N360" s="194"/>
      <c r="O360" s="194"/>
      <c r="P360" s="194"/>
      <c r="Q360" s="194"/>
      <c r="R360" s="194"/>
      <c r="S360" s="194"/>
      <c r="T360" s="194"/>
      <c r="U360" s="194"/>
      <c r="V360" s="194"/>
      <c r="W360" s="194"/>
      <c r="X360" s="194"/>
      <c r="Y360" s="194"/>
      <c r="Z360" s="196"/>
    </row>
    <row r="361" spans="14:26" x14ac:dyDescent="0.25">
      <c r="N361" s="194"/>
      <c r="O361" s="194"/>
      <c r="P361" s="194"/>
      <c r="Q361" s="194"/>
      <c r="R361" s="194"/>
      <c r="S361" s="194"/>
      <c r="T361" s="194"/>
      <c r="U361" s="194"/>
      <c r="V361" s="194"/>
      <c r="W361" s="194"/>
      <c r="X361" s="194"/>
      <c r="Y361" s="194"/>
      <c r="Z361" s="196"/>
    </row>
    <row r="362" spans="14:26" x14ac:dyDescent="0.25">
      <c r="N362" s="194"/>
      <c r="O362" s="194"/>
      <c r="P362" s="194"/>
      <c r="Q362" s="194"/>
      <c r="R362" s="194"/>
      <c r="S362" s="194"/>
      <c r="T362" s="194"/>
      <c r="U362" s="194"/>
      <c r="V362" s="194"/>
      <c r="W362" s="194"/>
      <c r="X362" s="194"/>
      <c r="Y362" s="194"/>
      <c r="Z362" s="196"/>
    </row>
    <row r="363" spans="14:26" x14ac:dyDescent="0.25">
      <c r="N363" s="194"/>
      <c r="O363" s="194"/>
      <c r="P363" s="194"/>
      <c r="Q363" s="194"/>
      <c r="R363" s="194"/>
      <c r="S363" s="194"/>
      <c r="T363" s="194"/>
      <c r="U363" s="194"/>
      <c r="V363" s="194"/>
      <c r="W363" s="194"/>
      <c r="X363" s="194"/>
      <c r="Y363" s="194"/>
      <c r="Z363" s="196"/>
    </row>
    <row r="364" spans="14:26" x14ac:dyDescent="0.25">
      <c r="N364" s="194"/>
      <c r="O364" s="194"/>
      <c r="P364" s="194"/>
      <c r="Q364" s="194"/>
      <c r="R364" s="194"/>
      <c r="S364" s="194"/>
      <c r="T364" s="194"/>
      <c r="U364" s="194"/>
      <c r="V364" s="194"/>
      <c r="W364" s="194"/>
      <c r="X364" s="194"/>
      <c r="Y364" s="194"/>
      <c r="Z364" s="196"/>
    </row>
    <row r="365" spans="14:26" x14ac:dyDescent="0.25">
      <c r="N365" s="194"/>
      <c r="O365" s="194"/>
      <c r="P365" s="194"/>
      <c r="Q365" s="194"/>
      <c r="R365" s="194"/>
      <c r="S365" s="194"/>
      <c r="T365" s="194"/>
      <c r="U365" s="194"/>
      <c r="V365" s="194"/>
      <c r="W365" s="194"/>
      <c r="X365" s="194"/>
      <c r="Y365" s="194"/>
      <c r="Z365" s="196"/>
    </row>
    <row r="366" spans="14:26" x14ac:dyDescent="0.25">
      <c r="N366" s="194"/>
      <c r="O366" s="194"/>
      <c r="P366" s="194"/>
      <c r="Q366" s="194"/>
      <c r="R366" s="194"/>
      <c r="S366" s="194"/>
      <c r="T366" s="194"/>
      <c r="U366" s="194"/>
      <c r="V366" s="194"/>
      <c r="W366" s="194"/>
      <c r="X366" s="194"/>
      <c r="Y366" s="194"/>
      <c r="Z366" s="196"/>
    </row>
    <row r="367" spans="14:26" x14ac:dyDescent="0.25">
      <c r="N367" s="194"/>
      <c r="O367" s="194"/>
      <c r="P367" s="194"/>
      <c r="Q367" s="194"/>
      <c r="R367" s="194"/>
      <c r="S367" s="194"/>
      <c r="T367" s="194"/>
      <c r="U367" s="194"/>
      <c r="V367" s="194"/>
      <c r="W367" s="194"/>
      <c r="X367" s="194"/>
      <c r="Y367" s="194"/>
      <c r="Z367" s="196"/>
    </row>
    <row r="368" spans="14:26" x14ac:dyDescent="0.25">
      <c r="N368" s="194"/>
      <c r="O368" s="194"/>
      <c r="P368" s="194"/>
      <c r="Q368" s="194"/>
      <c r="R368" s="194"/>
      <c r="S368" s="194"/>
      <c r="T368" s="194"/>
      <c r="U368" s="194"/>
      <c r="V368" s="194"/>
      <c r="W368" s="194"/>
      <c r="X368" s="194"/>
      <c r="Y368" s="194"/>
      <c r="Z368" s="196"/>
    </row>
    <row r="369" spans="14:26" x14ac:dyDescent="0.25">
      <c r="N369" s="194"/>
      <c r="O369" s="194"/>
      <c r="P369" s="194"/>
      <c r="Q369" s="194"/>
      <c r="R369" s="194"/>
      <c r="S369" s="194"/>
      <c r="T369" s="194"/>
      <c r="U369" s="194"/>
      <c r="V369" s="194"/>
      <c r="W369" s="194"/>
      <c r="X369" s="194"/>
      <c r="Y369" s="194"/>
      <c r="Z369" s="196"/>
    </row>
    <row r="370" spans="14:26" x14ac:dyDescent="0.25">
      <c r="N370" s="194"/>
      <c r="O370" s="194"/>
      <c r="P370" s="194"/>
      <c r="Q370" s="194"/>
      <c r="R370" s="194"/>
      <c r="S370" s="194"/>
      <c r="T370" s="194"/>
      <c r="U370" s="194"/>
      <c r="V370" s="194"/>
      <c r="W370" s="194"/>
      <c r="X370" s="194"/>
      <c r="Y370" s="194"/>
      <c r="Z370" s="196"/>
    </row>
    <row r="371" spans="14:26" x14ac:dyDescent="0.25">
      <c r="N371" s="194"/>
      <c r="O371" s="194"/>
      <c r="P371" s="194"/>
      <c r="Q371" s="194"/>
      <c r="R371" s="194"/>
      <c r="S371" s="194"/>
      <c r="T371" s="194"/>
      <c r="U371" s="194"/>
      <c r="V371" s="194"/>
      <c r="W371" s="194"/>
      <c r="X371" s="194"/>
      <c r="Y371" s="194"/>
      <c r="Z371" s="196"/>
    </row>
    <row r="372" spans="14:26" x14ac:dyDescent="0.25">
      <c r="N372" s="194"/>
      <c r="O372" s="194"/>
      <c r="P372" s="194"/>
      <c r="Q372" s="194"/>
      <c r="R372" s="194"/>
      <c r="S372" s="194"/>
      <c r="T372" s="194"/>
      <c r="U372" s="194"/>
      <c r="V372" s="194"/>
      <c r="W372" s="194"/>
      <c r="X372" s="194"/>
      <c r="Y372" s="194"/>
      <c r="Z372" s="196"/>
    </row>
    <row r="373" spans="14:26" x14ac:dyDescent="0.25">
      <c r="N373" s="194"/>
      <c r="O373" s="194"/>
      <c r="P373" s="194"/>
      <c r="Q373" s="194"/>
      <c r="R373" s="194"/>
      <c r="S373" s="194"/>
      <c r="T373" s="194"/>
      <c r="U373" s="194"/>
      <c r="V373" s="194"/>
      <c r="W373" s="194"/>
      <c r="X373" s="194"/>
      <c r="Y373" s="194"/>
      <c r="Z373" s="196"/>
    </row>
    <row r="374" spans="14:26" x14ac:dyDescent="0.25">
      <c r="N374" s="194"/>
      <c r="O374" s="194"/>
      <c r="P374" s="194"/>
      <c r="Q374" s="194"/>
      <c r="R374" s="194"/>
      <c r="S374" s="194"/>
      <c r="T374" s="194"/>
      <c r="U374" s="194"/>
      <c r="V374" s="194"/>
      <c r="W374" s="194"/>
      <c r="X374" s="194"/>
      <c r="Y374" s="194"/>
      <c r="Z374" s="196"/>
    </row>
    <row r="375" spans="14:26" x14ac:dyDescent="0.25">
      <c r="N375" s="194"/>
      <c r="O375" s="194"/>
      <c r="P375" s="194"/>
      <c r="Q375" s="194"/>
      <c r="R375" s="194"/>
      <c r="S375" s="194"/>
      <c r="T375" s="194"/>
      <c r="U375" s="194"/>
      <c r="V375" s="194"/>
      <c r="W375" s="194"/>
      <c r="X375" s="194"/>
      <c r="Y375" s="194"/>
      <c r="Z375" s="196"/>
    </row>
    <row r="376" spans="14:26" x14ac:dyDescent="0.25">
      <c r="N376" s="194"/>
      <c r="O376" s="194"/>
      <c r="P376" s="194"/>
      <c r="Q376" s="194"/>
      <c r="R376" s="194"/>
      <c r="S376" s="194"/>
      <c r="T376" s="194"/>
      <c r="U376" s="194"/>
      <c r="V376" s="194"/>
      <c r="W376" s="194"/>
      <c r="X376" s="194"/>
      <c r="Y376" s="194"/>
      <c r="Z376" s="196"/>
    </row>
    <row r="377" spans="14:26" x14ac:dyDescent="0.25">
      <c r="N377" s="194"/>
      <c r="O377" s="194"/>
      <c r="P377" s="194"/>
      <c r="Q377" s="194"/>
      <c r="R377" s="194"/>
      <c r="S377" s="194"/>
      <c r="T377" s="194"/>
      <c r="U377" s="194"/>
      <c r="V377" s="194"/>
      <c r="W377" s="194"/>
      <c r="X377" s="194"/>
      <c r="Y377" s="194"/>
      <c r="Z377" s="196"/>
    </row>
    <row r="378" spans="14:26" x14ac:dyDescent="0.25">
      <c r="N378" s="194"/>
      <c r="O378" s="194"/>
      <c r="P378" s="194"/>
      <c r="Q378" s="194"/>
      <c r="R378" s="194"/>
      <c r="S378" s="194"/>
      <c r="T378" s="194"/>
      <c r="U378" s="194"/>
      <c r="V378" s="194"/>
      <c r="W378" s="194"/>
      <c r="X378" s="194"/>
      <c r="Y378" s="194"/>
      <c r="Z378" s="196"/>
    </row>
    <row r="379" spans="14:26" x14ac:dyDescent="0.25">
      <c r="N379" s="194"/>
      <c r="O379" s="194"/>
      <c r="P379" s="194"/>
      <c r="Q379" s="194"/>
      <c r="R379" s="194"/>
      <c r="S379" s="194"/>
      <c r="T379" s="194"/>
      <c r="U379" s="194"/>
      <c r="V379" s="194"/>
      <c r="W379" s="194"/>
      <c r="X379" s="194"/>
      <c r="Y379" s="194"/>
      <c r="Z379" s="196"/>
    </row>
    <row r="380" spans="14:26" x14ac:dyDescent="0.25">
      <c r="N380" s="194"/>
      <c r="O380" s="194"/>
      <c r="P380" s="194"/>
      <c r="Q380" s="194"/>
      <c r="R380" s="194"/>
      <c r="S380" s="194"/>
      <c r="T380" s="194"/>
      <c r="U380" s="194"/>
      <c r="V380" s="194"/>
      <c r="W380" s="194"/>
      <c r="X380" s="194"/>
      <c r="Y380" s="194"/>
      <c r="Z380" s="196"/>
    </row>
    <row r="381" spans="14:26" x14ac:dyDescent="0.25">
      <c r="N381" s="194"/>
      <c r="O381" s="194"/>
      <c r="P381" s="194"/>
      <c r="Q381" s="194"/>
      <c r="R381" s="194"/>
      <c r="S381" s="194"/>
      <c r="T381" s="194"/>
      <c r="U381" s="194"/>
      <c r="V381" s="194"/>
      <c r="W381" s="194"/>
      <c r="X381" s="194"/>
      <c r="Y381" s="194"/>
      <c r="Z381" s="196"/>
    </row>
    <row r="382" spans="14:26" x14ac:dyDescent="0.25">
      <c r="N382" s="194"/>
      <c r="O382" s="194"/>
      <c r="P382" s="194"/>
      <c r="Q382" s="194"/>
      <c r="R382" s="194"/>
      <c r="S382" s="194"/>
      <c r="T382" s="194"/>
      <c r="U382" s="194"/>
      <c r="V382" s="194"/>
      <c r="W382" s="194"/>
      <c r="X382" s="194"/>
      <c r="Y382" s="194"/>
      <c r="Z382" s="196"/>
    </row>
    <row r="383" spans="14:26" x14ac:dyDescent="0.25">
      <c r="N383" s="194"/>
      <c r="O383" s="194"/>
      <c r="P383" s="194"/>
      <c r="Q383" s="194"/>
      <c r="R383" s="194"/>
      <c r="S383" s="194"/>
      <c r="T383" s="194"/>
      <c r="U383" s="194"/>
      <c r="V383" s="194"/>
      <c r="W383" s="194"/>
      <c r="X383" s="194"/>
      <c r="Y383" s="194"/>
      <c r="Z383" s="196"/>
    </row>
    <row r="384" spans="14:26" x14ac:dyDescent="0.25">
      <c r="N384" s="194"/>
      <c r="O384" s="194"/>
      <c r="P384" s="194"/>
      <c r="Q384" s="194"/>
      <c r="R384" s="194"/>
      <c r="S384" s="194"/>
      <c r="T384" s="194"/>
      <c r="U384" s="194"/>
      <c r="V384" s="194"/>
      <c r="W384" s="194"/>
      <c r="X384" s="194"/>
      <c r="Y384" s="194"/>
      <c r="Z384" s="196"/>
    </row>
    <row r="385" spans="14:26" x14ac:dyDescent="0.25">
      <c r="N385" s="194"/>
      <c r="O385" s="194"/>
      <c r="P385" s="194"/>
      <c r="Q385" s="194"/>
      <c r="R385" s="194"/>
      <c r="S385" s="194"/>
      <c r="T385" s="194"/>
      <c r="U385" s="194"/>
      <c r="V385" s="194"/>
      <c r="W385" s="194"/>
      <c r="X385" s="194"/>
      <c r="Y385" s="194"/>
      <c r="Z385" s="196"/>
    </row>
    <row r="386" spans="14:26" x14ac:dyDescent="0.25">
      <c r="N386" s="194"/>
      <c r="O386" s="194"/>
      <c r="P386" s="194"/>
      <c r="Q386" s="194"/>
      <c r="R386" s="194"/>
      <c r="S386" s="194"/>
      <c r="T386" s="194"/>
      <c r="U386" s="194"/>
      <c r="V386" s="194"/>
      <c r="W386" s="194"/>
      <c r="X386" s="194"/>
      <c r="Y386" s="194"/>
      <c r="Z386" s="196"/>
    </row>
    <row r="387" spans="14:26" x14ac:dyDescent="0.25">
      <c r="N387" s="194"/>
      <c r="O387" s="194"/>
      <c r="P387" s="194"/>
      <c r="Q387" s="194"/>
      <c r="R387" s="194"/>
      <c r="S387" s="194"/>
      <c r="T387" s="194"/>
      <c r="U387" s="194"/>
      <c r="V387" s="194"/>
      <c r="W387" s="194"/>
      <c r="X387" s="194"/>
      <c r="Y387" s="194"/>
      <c r="Z387" s="196"/>
    </row>
    <row r="388" spans="14:26" x14ac:dyDescent="0.25">
      <c r="N388" s="194"/>
      <c r="O388" s="194"/>
      <c r="P388" s="194"/>
      <c r="Q388" s="194"/>
      <c r="R388" s="194"/>
      <c r="S388" s="194"/>
      <c r="T388" s="194"/>
      <c r="U388" s="194"/>
      <c r="V388" s="194"/>
      <c r="W388" s="194"/>
      <c r="X388" s="194"/>
      <c r="Y388" s="194"/>
      <c r="Z388" s="196"/>
    </row>
    <row r="389" spans="14:26" x14ac:dyDescent="0.25">
      <c r="N389" s="194"/>
      <c r="O389" s="194"/>
      <c r="P389" s="194"/>
      <c r="Q389" s="194"/>
      <c r="R389" s="194"/>
      <c r="S389" s="194"/>
      <c r="T389" s="194"/>
      <c r="U389" s="194"/>
      <c r="V389" s="194"/>
      <c r="W389" s="194"/>
      <c r="X389" s="194"/>
      <c r="Y389" s="194"/>
      <c r="Z389" s="196"/>
    </row>
    <row r="390" spans="14:26" x14ac:dyDescent="0.25">
      <c r="N390" s="194"/>
      <c r="O390" s="194"/>
      <c r="P390" s="194"/>
      <c r="Q390" s="194"/>
      <c r="R390" s="194"/>
      <c r="S390" s="194"/>
      <c r="T390" s="194"/>
      <c r="U390" s="194"/>
      <c r="V390" s="194"/>
      <c r="W390" s="194"/>
      <c r="X390" s="194"/>
      <c r="Y390" s="194"/>
      <c r="Z390" s="196"/>
    </row>
    <row r="391" spans="14:26" x14ac:dyDescent="0.25">
      <c r="N391" s="194"/>
      <c r="O391" s="194"/>
      <c r="P391" s="194"/>
      <c r="Q391" s="194"/>
      <c r="R391" s="194"/>
      <c r="S391" s="194"/>
      <c r="T391" s="194"/>
      <c r="U391" s="194"/>
      <c r="V391" s="194"/>
      <c r="W391" s="194"/>
      <c r="X391" s="194"/>
      <c r="Y391" s="194"/>
      <c r="Z391" s="196"/>
    </row>
    <row r="392" spans="14:26" x14ac:dyDescent="0.25">
      <c r="N392" s="194"/>
      <c r="O392" s="194"/>
      <c r="P392" s="194"/>
      <c r="Q392" s="194"/>
      <c r="R392" s="194"/>
      <c r="S392" s="194"/>
      <c r="T392" s="194"/>
      <c r="U392" s="194"/>
      <c r="V392" s="194"/>
      <c r="W392" s="194"/>
      <c r="X392" s="194"/>
      <c r="Y392" s="194"/>
      <c r="Z392" s="196"/>
    </row>
    <row r="393" spans="14:26" x14ac:dyDescent="0.25">
      <c r="N393" s="194"/>
      <c r="O393" s="194"/>
      <c r="P393" s="194"/>
      <c r="Q393" s="194"/>
      <c r="R393" s="194"/>
      <c r="S393" s="194"/>
      <c r="T393" s="194"/>
      <c r="U393" s="194"/>
      <c r="V393" s="194"/>
      <c r="W393" s="194"/>
      <c r="X393" s="194"/>
      <c r="Y393" s="194"/>
      <c r="Z393" s="196"/>
    </row>
    <row r="394" spans="14:26" x14ac:dyDescent="0.25">
      <c r="N394" s="194"/>
      <c r="O394" s="194"/>
      <c r="P394" s="194"/>
      <c r="Q394" s="194"/>
      <c r="R394" s="194"/>
      <c r="S394" s="194"/>
      <c r="T394" s="194"/>
      <c r="U394" s="194"/>
      <c r="V394" s="194"/>
      <c r="W394" s="194"/>
      <c r="X394" s="194"/>
      <c r="Y394" s="194"/>
      <c r="Z394" s="196"/>
    </row>
    <row r="395" spans="14:26" x14ac:dyDescent="0.25">
      <c r="N395" s="194"/>
      <c r="O395" s="194"/>
      <c r="P395" s="194"/>
      <c r="Q395" s="194"/>
      <c r="R395" s="194"/>
      <c r="S395" s="194"/>
      <c r="T395" s="194"/>
      <c r="U395" s="194"/>
      <c r="V395" s="194"/>
      <c r="W395" s="194"/>
      <c r="X395" s="194"/>
      <c r="Y395" s="194"/>
      <c r="Z395" s="196"/>
    </row>
    <row r="396" spans="14:26" x14ac:dyDescent="0.25">
      <c r="N396" s="194"/>
      <c r="O396" s="194"/>
      <c r="P396" s="194"/>
      <c r="Q396" s="194"/>
      <c r="R396" s="194"/>
      <c r="S396" s="194"/>
      <c r="T396" s="194"/>
      <c r="U396" s="194"/>
      <c r="V396" s="194"/>
      <c r="W396" s="194"/>
      <c r="X396" s="194"/>
      <c r="Y396" s="194"/>
      <c r="Z396" s="196"/>
    </row>
    <row r="397" spans="14:26" x14ac:dyDescent="0.25">
      <c r="N397" s="194"/>
      <c r="O397" s="194"/>
      <c r="P397" s="194"/>
      <c r="Q397" s="194"/>
      <c r="R397" s="194"/>
      <c r="S397" s="194"/>
      <c r="T397" s="194"/>
      <c r="U397" s="194"/>
      <c r="V397" s="194"/>
      <c r="W397" s="194"/>
      <c r="X397" s="194"/>
      <c r="Y397" s="194"/>
      <c r="Z397" s="196"/>
    </row>
    <row r="398" spans="14:26" x14ac:dyDescent="0.25">
      <c r="N398" s="194"/>
      <c r="O398" s="194"/>
      <c r="P398" s="194"/>
      <c r="Q398" s="194"/>
      <c r="R398" s="194"/>
      <c r="S398" s="194"/>
      <c r="T398" s="194"/>
      <c r="U398" s="194"/>
      <c r="V398" s="194"/>
      <c r="W398" s="194"/>
      <c r="X398" s="194"/>
      <c r="Y398" s="194"/>
      <c r="Z398" s="196"/>
    </row>
    <row r="399" spans="14:26" x14ac:dyDescent="0.25">
      <c r="N399" s="194"/>
      <c r="O399" s="194"/>
      <c r="P399" s="194"/>
      <c r="Q399" s="194"/>
      <c r="R399" s="194"/>
      <c r="S399" s="194"/>
      <c r="T399" s="194"/>
      <c r="U399" s="194"/>
      <c r="V399" s="194"/>
      <c r="W399" s="194"/>
      <c r="X399" s="194"/>
      <c r="Y399" s="194"/>
      <c r="Z399" s="196"/>
    </row>
    <row r="400" spans="14:26" x14ac:dyDescent="0.25">
      <c r="N400" s="194"/>
      <c r="O400" s="194"/>
      <c r="P400" s="194"/>
      <c r="Q400" s="194"/>
      <c r="R400" s="194"/>
      <c r="S400" s="194"/>
      <c r="T400" s="194"/>
      <c r="U400" s="194"/>
      <c r="V400" s="194"/>
      <c r="W400" s="194"/>
      <c r="X400" s="194"/>
      <c r="Y400" s="194"/>
      <c r="Z400" s="196"/>
    </row>
    <row r="401" spans="14:26" x14ac:dyDescent="0.25">
      <c r="N401" s="194"/>
      <c r="O401" s="194"/>
      <c r="P401" s="194"/>
      <c r="Q401" s="194"/>
      <c r="R401" s="194"/>
      <c r="S401" s="194"/>
      <c r="T401" s="194"/>
      <c r="U401" s="194"/>
      <c r="V401" s="194"/>
      <c r="W401" s="194"/>
      <c r="X401" s="194"/>
      <c r="Y401" s="194"/>
      <c r="Z401" s="196"/>
    </row>
    <row r="402" spans="14:26" x14ac:dyDescent="0.25">
      <c r="N402" s="194"/>
      <c r="O402" s="194"/>
      <c r="P402" s="194"/>
      <c r="Q402" s="194"/>
      <c r="R402" s="194"/>
      <c r="S402" s="194"/>
      <c r="T402" s="194"/>
      <c r="U402" s="194"/>
      <c r="V402" s="194"/>
      <c r="W402" s="194"/>
      <c r="X402" s="194"/>
      <c r="Y402" s="194"/>
      <c r="Z402" s="196"/>
    </row>
    <row r="403" spans="14:26" x14ac:dyDescent="0.25">
      <c r="N403" s="194"/>
      <c r="O403" s="194"/>
      <c r="P403" s="194"/>
      <c r="Q403" s="194"/>
      <c r="R403" s="194"/>
      <c r="S403" s="194"/>
      <c r="T403" s="194"/>
      <c r="U403" s="194"/>
      <c r="V403" s="194"/>
      <c r="W403" s="194"/>
      <c r="X403" s="194"/>
      <c r="Y403" s="194"/>
      <c r="Z403" s="196"/>
    </row>
    <row r="404" spans="14:26" x14ac:dyDescent="0.25">
      <c r="N404" s="194"/>
      <c r="O404" s="194"/>
      <c r="P404" s="194"/>
      <c r="Q404" s="194"/>
      <c r="R404" s="194"/>
      <c r="S404" s="194"/>
      <c r="T404" s="194"/>
      <c r="U404" s="194"/>
      <c r="V404" s="194"/>
      <c r="W404" s="194"/>
      <c r="X404" s="194"/>
      <c r="Y404" s="194"/>
      <c r="Z404" s="196"/>
    </row>
    <row r="405" spans="14:26" x14ac:dyDescent="0.25">
      <c r="N405" s="194"/>
      <c r="O405" s="194"/>
      <c r="P405" s="194"/>
      <c r="Q405" s="194"/>
      <c r="R405" s="194"/>
      <c r="S405" s="194"/>
      <c r="T405" s="194"/>
      <c r="U405" s="194"/>
      <c r="V405" s="194"/>
      <c r="W405" s="194"/>
      <c r="X405" s="194"/>
      <c r="Y405" s="194"/>
      <c r="Z405" s="196"/>
    </row>
    <row r="406" spans="14:26" x14ac:dyDescent="0.25">
      <c r="N406" s="194"/>
      <c r="O406" s="194"/>
      <c r="P406" s="194"/>
      <c r="Q406" s="194"/>
      <c r="R406" s="194"/>
      <c r="S406" s="194"/>
      <c r="T406" s="194"/>
      <c r="U406" s="194"/>
      <c r="V406" s="194"/>
      <c r="W406" s="194"/>
      <c r="X406" s="194"/>
      <c r="Y406" s="194"/>
      <c r="Z406" s="196"/>
    </row>
    <row r="407" spans="14:26" x14ac:dyDescent="0.25">
      <c r="N407" s="194"/>
      <c r="O407" s="194"/>
      <c r="P407" s="194"/>
      <c r="Q407" s="194"/>
      <c r="R407" s="194"/>
      <c r="S407" s="194"/>
      <c r="T407" s="194"/>
      <c r="U407" s="194"/>
      <c r="V407" s="194"/>
      <c r="W407" s="194"/>
      <c r="X407" s="194"/>
      <c r="Y407" s="194"/>
      <c r="Z407" s="196"/>
    </row>
    <row r="408" spans="14:26" x14ac:dyDescent="0.25">
      <c r="N408" s="194"/>
      <c r="O408" s="194"/>
      <c r="P408" s="194"/>
      <c r="Q408" s="194"/>
      <c r="R408" s="194"/>
      <c r="S408" s="194"/>
      <c r="T408" s="194"/>
      <c r="U408" s="194"/>
      <c r="V408" s="194"/>
      <c r="W408" s="194"/>
      <c r="X408" s="194"/>
      <c r="Y408" s="194"/>
      <c r="Z408" s="196"/>
    </row>
    <row r="409" spans="14:26" x14ac:dyDescent="0.25">
      <c r="N409" s="194"/>
      <c r="O409" s="194"/>
      <c r="P409" s="194"/>
      <c r="Q409" s="194"/>
      <c r="R409" s="194"/>
      <c r="S409" s="194"/>
      <c r="T409" s="194"/>
      <c r="U409" s="194"/>
      <c r="V409" s="194"/>
      <c r="W409" s="194"/>
      <c r="X409" s="194"/>
      <c r="Y409" s="194"/>
      <c r="Z409" s="196"/>
    </row>
    <row r="410" spans="14:26" x14ac:dyDescent="0.25">
      <c r="N410" s="194"/>
      <c r="O410" s="194"/>
      <c r="P410" s="194"/>
      <c r="Q410" s="194"/>
      <c r="R410" s="194"/>
      <c r="S410" s="194"/>
      <c r="T410" s="194"/>
      <c r="U410" s="194"/>
      <c r="V410" s="194"/>
      <c r="W410" s="194"/>
      <c r="X410" s="194"/>
      <c r="Y410" s="194"/>
      <c r="Z410" s="196"/>
    </row>
    <row r="411" spans="14:26" x14ac:dyDescent="0.25">
      <c r="N411" s="194"/>
      <c r="O411" s="194"/>
      <c r="P411" s="194"/>
      <c r="Q411" s="194"/>
      <c r="R411" s="194"/>
      <c r="S411" s="194"/>
      <c r="T411" s="194"/>
      <c r="U411" s="194"/>
      <c r="V411" s="194"/>
      <c r="W411" s="194"/>
      <c r="X411" s="194"/>
      <c r="Y411" s="194"/>
      <c r="Z411" s="196"/>
    </row>
    <row r="412" spans="14:26" x14ac:dyDescent="0.25">
      <c r="N412" s="194"/>
      <c r="O412" s="194"/>
      <c r="P412" s="194"/>
      <c r="Q412" s="194"/>
      <c r="R412" s="194"/>
      <c r="S412" s="194"/>
      <c r="T412" s="194"/>
      <c r="U412" s="194"/>
      <c r="V412" s="194"/>
      <c r="W412" s="194"/>
      <c r="X412" s="194"/>
      <c r="Y412" s="194"/>
      <c r="Z412" s="196"/>
    </row>
    <row r="413" spans="14:26" x14ac:dyDescent="0.25">
      <c r="N413" s="194"/>
      <c r="O413" s="194"/>
      <c r="P413" s="194"/>
      <c r="Q413" s="194"/>
      <c r="R413" s="194"/>
      <c r="S413" s="194"/>
      <c r="T413" s="194"/>
      <c r="U413" s="194"/>
      <c r="V413" s="194"/>
      <c r="W413" s="194"/>
      <c r="X413" s="194"/>
      <c r="Y413" s="194"/>
      <c r="Z413" s="196"/>
    </row>
    <row r="414" spans="14:26" x14ac:dyDescent="0.25">
      <c r="N414" s="194"/>
      <c r="O414" s="194"/>
      <c r="P414" s="194"/>
      <c r="Q414" s="194"/>
      <c r="R414" s="194"/>
      <c r="S414" s="194"/>
      <c r="T414" s="194"/>
      <c r="U414" s="194"/>
      <c r="V414" s="194"/>
      <c r="W414" s="194"/>
      <c r="X414" s="194"/>
      <c r="Y414" s="194"/>
      <c r="Z414" s="196"/>
    </row>
    <row r="415" spans="14:26" x14ac:dyDescent="0.25">
      <c r="N415" s="194"/>
      <c r="O415" s="194"/>
      <c r="P415" s="194"/>
      <c r="Q415" s="194"/>
      <c r="R415" s="194"/>
      <c r="S415" s="194"/>
      <c r="T415" s="194"/>
      <c r="U415" s="194"/>
      <c r="V415" s="194"/>
      <c r="W415" s="194"/>
      <c r="X415" s="194"/>
      <c r="Y415" s="194"/>
      <c r="Z415" s="196"/>
    </row>
    <row r="416" spans="14:26" x14ac:dyDescent="0.25">
      <c r="N416" s="194"/>
      <c r="O416" s="194"/>
      <c r="P416" s="194"/>
      <c r="Q416" s="194"/>
      <c r="R416" s="194"/>
      <c r="S416" s="194"/>
      <c r="T416" s="194"/>
      <c r="U416" s="194"/>
      <c r="V416" s="194"/>
      <c r="W416" s="194"/>
      <c r="X416" s="194"/>
      <c r="Y416" s="194"/>
      <c r="Z416" s="196"/>
    </row>
    <row r="417" spans="14:26" x14ac:dyDescent="0.25">
      <c r="N417" s="194"/>
      <c r="O417" s="194"/>
      <c r="P417" s="194"/>
      <c r="Q417" s="194"/>
      <c r="R417" s="194"/>
      <c r="S417" s="194"/>
      <c r="T417" s="194"/>
      <c r="U417" s="194"/>
      <c r="V417" s="194"/>
      <c r="W417" s="194"/>
      <c r="X417" s="194"/>
      <c r="Y417" s="194"/>
      <c r="Z417" s="196"/>
    </row>
    <row r="418" spans="14:26" x14ac:dyDescent="0.25">
      <c r="N418" s="194"/>
      <c r="O418" s="194"/>
      <c r="P418" s="194"/>
      <c r="Q418" s="194"/>
      <c r="R418" s="194"/>
      <c r="S418" s="194"/>
      <c r="T418" s="194"/>
      <c r="U418" s="194"/>
      <c r="V418" s="194"/>
      <c r="W418" s="194"/>
      <c r="X418" s="194"/>
      <c r="Y418" s="194"/>
      <c r="Z418" s="196"/>
    </row>
    <row r="419" spans="14:26" x14ac:dyDescent="0.25">
      <c r="N419" s="194"/>
      <c r="O419" s="194"/>
      <c r="P419" s="194"/>
      <c r="Q419" s="194"/>
      <c r="R419" s="194"/>
      <c r="S419" s="194"/>
      <c r="T419" s="194"/>
      <c r="U419" s="194"/>
      <c r="V419" s="194"/>
      <c r="W419" s="194"/>
      <c r="X419" s="194"/>
      <c r="Y419" s="194"/>
      <c r="Z419" s="196"/>
    </row>
    <row r="420" spans="14:26" x14ac:dyDescent="0.25">
      <c r="N420" s="194"/>
      <c r="O420" s="194"/>
      <c r="P420" s="194"/>
      <c r="Q420" s="194"/>
      <c r="R420" s="194"/>
      <c r="S420" s="194"/>
      <c r="T420" s="194"/>
      <c r="U420" s="194"/>
      <c r="V420" s="194"/>
      <c r="W420" s="194"/>
      <c r="X420" s="194"/>
      <c r="Y420" s="194"/>
      <c r="Z420" s="196"/>
    </row>
    <row r="421" spans="14:26" x14ac:dyDescent="0.25">
      <c r="N421" s="194"/>
      <c r="O421" s="194"/>
      <c r="P421" s="194"/>
      <c r="Q421" s="194"/>
      <c r="R421" s="194"/>
      <c r="S421" s="194"/>
      <c r="T421" s="194"/>
      <c r="U421" s="194"/>
      <c r="V421" s="194"/>
      <c r="W421" s="194"/>
      <c r="X421" s="194"/>
      <c r="Y421" s="194"/>
      <c r="Z421" s="196"/>
    </row>
    <row r="422" spans="14:26" x14ac:dyDescent="0.25">
      <c r="N422" s="194"/>
      <c r="O422" s="194"/>
      <c r="P422" s="194"/>
      <c r="Q422" s="194"/>
      <c r="R422" s="194"/>
      <c r="S422" s="194"/>
      <c r="T422" s="194"/>
      <c r="U422" s="194"/>
      <c r="V422" s="194"/>
      <c r="W422" s="194"/>
      <c r="X422" s="194"/>
      <c r="Y422" s="194"/>
      <c r="Z422" s="196"/>
    </row>
    <row r="423" spans="14:26" x14ac:dyDescent="0.25">
      <c r="N423" s="194"/>
      <c r="O423" s="194"/>
      <c r="P423" s="194"/>
      <c r="Q423" s="194"/>
      <c r="R423" s="194"/>
      <c r="S423" s="194"/>
      <c r="T423" s="194"/>
      <c r="U423" s="194"/>
      <c r="V423" s="194"/>
      <c r="W423" s="194"/>
      <c r="X423" s="194"/>
      <c r="Y423" s="194"/>
      <c r="Z423" s="196"/>
    </row>
    <row r="424" spans="14:26" x14ac:dyDescent="0.25">
      <c r="N424" s="194"/>
      <c r="O424" s="194"/>
      <c r="P424" s="194"/>
      <c r="Q424" s="194"/>
      <c r="R424" s="194"/>
      <c r="S424" s="194"/>
      <c r="T424" s="194"/>
      <c r="U424" s="194"/>
      <c r="V424" s="194"/>
      <c r="W424" s="194"/>
      <c r="X424" s="194"/>
      <c r="Y424" s="194"/>
      <c r="Z424" s="196"/>
    </row>
    <row r="425" spans="14:26" x14ac:dyDescent="0.25">
      <c r="N425" s="194"/>
      <c r="O425" s="194"/>
      <c r="P425" s="194"/>
      <c r="Q425" s="194"/>
      <c r="R425" s="194"/>
      <c r="S425" s="194"/>
      <c r="T425" s="194"/>
      <c r="U425" s="194"/>
      <c r="V425" s="194"/>
      <c r="W425" s="194"/>
      <c r="X425" s="194"/>
      <c r="Y425" s="194"/>
      <c r="Z425" s="196"/>
    </row>
    <row r="426" spans="14:26" x14ac:dyDescent="0.25">
      <c r="N426" s="194"/>
      <c r="O426" s="194"/>
      <c r="P426" s="194"/>
      <c r="Q426" s="194"/>
      <c r="R426" s="194"/>
      <c r="S426" s="194"/>
      <c r="T426" s="194"/>
      <c r="U426" s="194"/>
      <c r="V426" s="194"/>
      <c r="W426" s="194"/>
      <c r="X426" s="194"/>
      <c r="Y426" s="194"/>
      <c r="Z426" s="196"/>
    </row>
    <row r="427" spans="14:26" x14ac:dyDescent="0.25">
      <c r="N427" s="194"/>
      <c r="O427" s="194"/>
      <c r="P427" s="194"/>
      <c r="Q427" s="194"/>
      <c r="R427" s="194"/>
      <c r="S427" s="194"/>
      <c r="T427" s="194"/>
      <c r="U427" s="194"/>
      <c r="V427" s="194"/>
      <c r="W427" s="194"/>
      <c r="X427" s="194"/>
      <c r="Y427" s="194"/>
      <c r="Z427" s="196"/>
    </row>
    <row r="428" spans="14:26" x14ac:dyDescent="0.25">
      <c r="N428" s="194"/>
      <c r="O428" s="194"/>
      <c r="P428" s="194"/>
      <c r="Q428" s="194"/>
      <c r="R428" s="194"/>
      <c r="S428" s="194"/>
      <c r="T428" s="194"/>
      <c r="U428" s="194"/>
      <c r="V428" s="194"/>
      <c r="W428" s="194"/>
      <c r="X428" s="194"/>
      <c r="Y428" s="194"/>
      <c r="Z428" s="196"/>
    </row>
    <row r="429" spans="14:26" x14ac:dyDescent="0.25">
      <c r="N429" s="194"/>
      <c r="O429" s="194"/>
      <c r="P429" s="194"/>
      <c r="Q429" s="194"/>
      <c r="R429" s="194"/>
      <c r="S429" s="194"/>
      <c r="T429" s="194"/>
      <c r="U429" s="194"/>
      <c r="V429" s="194"/>
      <c r="W429" s="194"/>
      <c r="X429" s="194"/>
      <c r="Y429" s="194"/>
      <c r="Z429" s="196"/>
    </row>
    <row r="430" spans="14:26" x14ac:dyDescent="0.25">
      <c r="N430" s="194"/>
      <c r="O430" s="194"/>
      <c r="P430" s="194"/>
      <c r="Q430" s="194"/>
      <c r="R430" s="194"/>
      <c r="S430" s="194"/>
      <c r="T430" s="194"/>
      <c r="U430" s="194"/>
      <c r="V430" s="194"/>
      <c r="W430" s="194"/>
      <c r="X430" s="194"/>
      <c r="Y430" s="194"/>
      <c r="Z430" s="196"/>
    </row>
    <row r="431" spans="14:26" x14ac:dyDescent="0.25">
      <c r="N431" s="194"/>
      <c r="O431" s="194"/>
      <c r="P431" s="194"/>
      <c r="Q431" s="194"/>
      <c r="R431" s="194"/>
      <c r="S431" s="194"/>
      <c r="T431" s="194"/>
      <c r="U431" s="194"/>
      <c r="V431" s="194"/>
      <c r="W431" s="194"/>
      <c r="X431" s="194"/>
      <c r="Y431" s="194"/>
      <c r="Z431" s="196"/>
    </row>
    <row r="432" spans="14:26" x14ac:dyDescent="0.25">
      <c r="N432" s="194"/>
      <c r="O432" s="194"/>
      <c r="P432" s="194"/>
      <c r="Q432" s="194"/>
      <c r="R432" s="194"/>
      <c r="S432" s="194"/>
      <c r="T432" s="194"/>
      <c r="U432" s="194"/>
      <c r="V432" s="194"/>
      <c r="W432" s="194"/>
      <c r="X432" s="194"/>
      <c r="Y432" s="194"/>
      <c r="Z432" s="196"/>
    </row>
    <row r="433" spans="14:26" x14ac:dyDescent="0.25">
      <c r="N433" s="194"/>
      <c r="O433" s="194"/>
      <c r="P433" s="194"/>
      <c r="Q433" s="194"/>
      <c r="R433" s="194"/>
      <c r="S433" s="194"/>
      <c r="T433" s="194"/>
      <c r="U433" s="194"/>
      <c r="V433" s="194"/>
      <c r="W433" s="194"/>
      <c r="X433" s="194"/>
      <c r="Y433" s="194"/>
      <c r="Z433" s="196"/>
    </row>
    <row r="434" spans="14:26" x14ac:dyDescent="0.25">
      <c r="N434" s="194"/>
      <c r="O434" s="194"/>
      <c r="P434" s="194"/>
      <c r="Q434" s="194"/>
      <c r="R434" s="194"/>
      <c r="S434" s="194"/>
      <c r="T434" s="194"/>
      <c r="U434" s="194"/>
      <c r="V434" s="194"/>
      <c r="W434" s="194"/>
      <c r="X434" s="194"/>
      <c r="Y434" s="194"/>
      <c r="Z434" s="196"/>
    </row>
    <row r="435" spans="14:26" x14ac:dyDescent="0.25">
      <c r="N435" s="194"/>
      <c r="O435" s="194"/>
      <c r="P435" s="194"/>
      <c r="Q435" s="194"/>
      <c r="R435" s="194"/>
      <c r="S435" s="194"/>
      <c r="T435" s="194"/>
      <c r="U435" s="194"/>
      <c r="V435" s="194"/>
      <c r="W435" s="194"/>
      <c r="X435" s="194"/>
      <c r="Y435" s="194"/>
      <c r="Z435" s="196"/>
    </row>
    <row r="436" spans="14:26" x14ac:dyDescent="0.25">
      <c r="N436" s="194"/>
      <c r="O436" s="194"/>
      <c r="P436" s="194"/>
      <c r="Q436" s="194"/>
      <c r="R436" s="194"/>
      <c r="S436" s="194"/>
      <c r="T436" s="194"/>
      <c r="U436" s="194"/>
      <c r="V436" s="194"/>
      <c r="W436" s="194"/>
      <c r="X436" s="194"/>
      <c r="Y436" s="194"/>
      <c r="Z436" s="196"/>
    </row>
    <row r="437" spans="14:26" x14ac:dyDescent="0.25">
      <c r="N437" s="194"/>
      <c r="O437" s="194"/>
      <c r="P437" s="194"/>
      <c r="Q437" s="194"/>
      <c r="R437" s="194"/>
      <c r="S437" s="194"/>
      <c r="T437" s="194"/>
      <c r="U437" s="194"/>
      <c r="V437" s="194"/>
      <c r="W437" s="194"/>
      <c r="X437" s="194"/>
      <c r="Y437" s="194"/>
      <c r="Z437" s="196"/>
    </row>
    <row r="438" spans="14:26" x14ac:dyDescent="0.25">
      <c r="N438" s="194"/>
      <c r="O438" s="194"/>
      <c r="P438" s="194"/>
      <c r="Q438" s="194"/>
      <c r="R438" s="194"/>
      <c r="S438" s="194"/>
      <c r="T438" s="194"/>
      <c r="U438" s="194"/>
      <c r="V438" s="194"/>
      <c r="W438" s="194"/>
      <c r="X438" s="194"/>
      <c r="Y438" s="194"/>
      <c r="Z438" s="196"/>
    </row>
    <row r="439" spans="14:26" x14ac:dyDescent="0.25">
      <c r="N439" s="194"/>
      <c r="O439" s="194"/>
      <c r="P439" s="194"/>
      <c r="Q439" s="194"/>
      <c r="R439" s="194"/>
      <c r="S439" s="194"/>
      <c r="T439" s="194"/>
      <c r="U439" s="194"/>
      <c r="V439" s="194"/>
      <c r="W439" s="194"/>
      <c r="X439" s="194"/>
      <c r="Y439" s="194"/>
      <c r="Z439" s="196"/>
    </row>
    <row r="440" spans="14:26" x14ac:dyDescent="0.25">
      <c r="N440" s="194"/>
      <c r="O440" s="194"/>
      <c r="P440" s="194"/>
      <c r="Q440" s="194"/>
      <c r="R440" s="194"/>
      <c r="S440" s="194"/>
      <c r="T440" s="194"/>
      <c r="U440" s="194"/>
      <c r="V440" s="194"/>
      <c r="W440" s="194"/>
      <c r="X440" s="194"/>
      <c r="Y440" s="194"/>
      <c r="Z440" s="196"/>
    </row>
    <row r="441" spans="14:26" x14ac:dyDescent="0.25">
      <c r="N441" s="194"/>
      <c r="O441" s="194"/>
      <c r="P441" s="194"/>
      <c r="Q441" s="194"/>
      <c r="R441" s="194"/>
      <c r="S441" s="194"/>
      <c r="T441" s="194"/>
      <c r="U441" s="194"/>
      <c r="V441" s="194"/>
      <c r="W441" s="194"/>
      <c r="X441" s="194"/>
      <c r="Y441" s="194"/>
      <c r="Z441" s="196"/>
    </row>
    <row r="442" spans="14:26" x14ac:dyDescent="0.25">
      <c r="N442" s="194"/>
      <c r="O442" s="194"/>
      <c r="P442" s="194"/>
      <c r="Q442" s="194"/>
      <c r="R442" s="194"/>
      <c r="S442" s="194"/>
      <c r="T442" s="194"/>
      <c r="U442" s="194"/>
      <c r="V442" s="194"/>
      <c r="W442" s="194"/>
      <c r="X442" s="194"/>
      <c r="Y442" s="194"/>
      <c r="Z442" s="196"/>
    </row>
    <row r="443" spans="14:26" x14ac:dyDescent="0.25">
      <c r="N443" s="194"/>
      <c r="O443" s="194"/>
      <c r="P443" s="194"/>
      <c r="Q443" s="194"/>
      <c r="R443" s="194"/>
      <c r="S443" s="194"/>
      <c r="T443" s="194"/>
      <c r="U443" s="194"/>
      <c r="V443" s="194"/>
      <c r="W443" s="194"/>
      <c r="X443" s="194"/>
      <c r="Y443" s="194"/>
      <c r="Z443" s="196"/>
    </row>
    <row r="444" spans="14:26" x14ac:dyDescent="0.25">
      <c r="N444" s="194"/>
      <c r="O444" s="194"/>
      <c r="P444" s="194"/>
      <c r="Q444" s="194"/>
      <c r="R444" s="194"/>
      <c r="S444" s="194"/>
      <c r="T444" s="194"/>
      <c r="U444" s="194"/>
      <c r="V444" s="194"/>
      <c r="W444" s="194"/>
      <c r="X444" s="194"/>
      <c r="Y444" s="194"/>
      <c r="Z444" s="196"/>
    </row>
    <row r="445" spans="14:26" x14ac:dyDescent="0.25">
      <c r="N445" s="194"/>
      <c r="O445" s="194"/>
      <c r="P445" s="194"/>
      <c r="Q445" s="194"/>
      <c r="R445" s="194"/>
      <c r="S445" s="194"/>
      <c r="T445" s="194"/>
      <c r="U445" s="194"/>
      <c r="V445" s="194"/>
      <c r="W445" s="194"/>
      <c r="X445" s="194"/>
      <c r="Y445" s="194"/>
      <c r="Z445" s="196"/>
    </row>
    <row r="446" spans="14:26" x14ac:dyDescent="0.25">
      <c r="N446" s="194"/>
      <c r="O446" s="194"/>
      <c r="P446" s="194"/>
      <c r="Q446" s="194"/>
      <c r="R446" s="194"/>
      <c r="S446" s="194"/>
      <c r="T446" s="194"/>
      <c r="U446" s="194"/>
      <c r="V446" s="194"/>
      <c r="W446" s="194"/>
      <c r="X446" s="194"/>
      <c r="Y446" s="194"/>
      <c r="Z446" s="196"/>
    </row>
    <row r="447" spans="14:26" x14ac:dyDescent="0.25">
      <c r="N447" s="194"/>
      <c r="O447" s="194"/>
      <c r="P447" s="194"/>
      <c r="Q447" s="194"/>
      <c r="R447" s="194"/>
      <c r="S447" s="194"/>
      <c r="T447" s="194"/>
      <c r="U447" s="194"/>
      <c r="V447" s="194"/>
      <c r="W447" s="194"/>
      <c r="X447" s="194"/>
      <c r="Y447" s="194"/>
      <c r="Z447" s="196"/>
    </row>
    <row r="448" spans="14:26" x14ac:dyDescent="0.25">
      <c r="N448" s="194"/>
      <c r="O448" s="194"/>
      <c r="P448" s="194"/>
      <c r="Q448" s="194"/>
      <c r="R448" s="194"/>
      <c r="S448" s="194"/>
      <c r="T448" s="194"/>
      <c r="U448" s="194"/>
      <c r="V448" s="194"/>
      <c r="W448" s="194"/>
      <c r="X448" s="194"/>
      <c r="Y448" s="194"/>
      <c r="Z448" s="196"/>
    </row>
    <row r="449" spans="14:26" x14ac:dyDescent="0.25">
      <c r="N449" s="194"/>
      <c r="O449" s="194"/>
      <c r="P449" s="194"/>
      <c r="Q449" s="194"/>
      <c r="R449" s="194"/>
      <c r="S449" s="194"/>
      <c r="T449" s="194"/>
      <c r="U449" s="194"/>
      <c r="V449" s="194"/>
      <c r="W449" s="194"/>
      <c r="X449" s="194"/>
      <c r="Y449" s="194"/>
      <c r="Z449" s="196"/>
    </row>
    <row r="450" spans="14:26" x14ac:dyDescent="0.25">
      <c r="N450" s="194"/>
      <c r="O450" s="194"/>
      <c r="P450" s="194"/>
      <c r="Q450" s="194"/>
      <c r="R450" s="194"/>
      <c r="S450" s="194"/>
      <c r="T450" s="194"/>
      <c r="U450" s="194"/>
      <c r="V450" s="194"/>
      <c r="W450" s="194"/>
      <c r="X450" s="194"/>
      <c r="Y450" s="194"/>
      <c r="Z450" s="196"/>
    </row>
    <row r="451" spans="14:26" x14ac:dyDescent="0.25">
      <c r="N451" s="194"/>
      <c r="O451" s="194"/>
      <c r="P451" s="194"/>
      <c r="Q451" s="194"/>
      <c r="R451" s="194"/>
      <c r="S451" s="194"/>
      <c r="T451" s="194"/>
      <c r="U451" s="194"/>
      <c r="V451" s="194"/>
      <c r="W451" s="194"/>
      <c r="X451" s="194"/>
      <c r="Y451" s="194"/>
      <c r="Z451" s="196"/>
    </row>
    <row r="452" spans="14:26" x14ac:dyDescent="0.25">
      <c r="N452" s="194"/>
      <c r="O452" s="194"/>
      <c r="P452" s="194"/>
      <c r="Q452" s="194"/>
      <c r="R452" s="194"/>
      <c r="S452" s="194"/>
      <c r="T452" s="194"/>
      <c r="U452" s="194"/>
      <c r="V452" s="194"/>
      <c r="W452" s="194"/>
      <c r="X452" s="194"/>
      <c r="Y452" s="194"/>
      <c r="Z452" s="196"/>
    </row>
    <row r="453" spans="14:26" x14ac:dyDescent="0.25">
      <c r="N453" s="194"/>
      <c r="O453" s="194"/>
      <c r="P453" s="194"/>
      <c r="Q453" s="194"/>
      <c r="R453" s="194"/>
      <c r="S453" s="194"/>
      <c r="T453" s="194"/>
      <c r="U453" s="194"/>
      <c r="V453" s="194"/>
      <c r="W453" s="194"/>
      <c r="X453" s="194"/>
      <c r="Y453" s="194"/>
      <c r="Z453" s="196"/>
    </row>
    <row r="454" spans="14:26" x14ac:dyDescent="0.25">
      <c r="N454" s="194"/>
      <c r="O454" s="194"/>
      <c r="P454" s="194"/>
      <c r="Q454" s="194"/>
      <c r="R454" s="194"/>
      <c r="S454" s="194"/>
      <c r="T454" s="194"/>
      <c r="U454" s="194"/>
      <c r="V454" s="194"/>
      <c r="W454" s="194"/>
      <c r="X454" s="194"/>
      <c r="Y454" s="194"/>
      <c r="Z454" s="196"/>
    </row>
    <row r="455" spans="14:26" x14ac:dyDescent="0.25">
      <c r="N455" s="194"/>
      <c r="O455" s="194"/>
      <c r="P455" s="194"/>
      <c r="Q455" s="194"/>
      <c r="R455" s="194"/>
      <c r="S455" s="194"/>
      <c r="T455" s="194"/>
      <c r="U455" s="194"/>
      <c r="V455" s="194"/>
      <c r="W455" s="194"/>
      <c r="X455" s="194"/>
      <c r="Y455" s="194"/>
      <c r="Z455" s="196"/>
    </row>
    <row r="456" spans="14:26" x14ac:dyDescent="0.25">
      <c r="N456" s="194"/>
      <c r="O456" s="194"/>
      <c r="P456" s="194"/>
      <c r="Q456" s="194"/>
      <c r="R456" s="194"/>
      <c r="S456" s="194"/>
      <c r="T456" s="194"/>
      <c r="U456" s="194"/>
      <c r="V456" s="194"/>
      <c r="W456" s="194"/>
      <c r="X456" s="194"/>
      <c r="Y456" s="194"/>
      <c r="Z456" s="196"/>
    </row>
    <row r="457" spans="14:26" x14ac:dyDescent="0.25">
      <c r="N457" s="194"/>
      <c r="O457" s="194"/>
      <c r="P457" s="194"/>
      <c r="Q457" s="194"/>
      <c r="R457" s="194"/>
      <c r="S457" s="194"/>
      <c r="T457" s="194"/>
      <c r="U457" s="194"/>
      <c r="V457" s="194"/>
      <c r="W457" s="194"/>
      <c r="X457" s="194"/>
      <c r="Y457" s="194"/>
      <c r="Z457" s="196"/>
    </row>
    <row r="458" spans="14:26" x14ac:dyDescent="0.25">
      <c r="N458" s="194"/>
      <c r="O458" s="194"/>
      <c r="P458" s="194"/>
      <c r="Q458" s="194"/>
      <c r="R458" s="194"/>
      <c r="S458" s="194"/>
      <c r="T458" s="194"/>
      <c r="U458" s="194"/>
      <c r="V458" s="194"/>
      <c r="W458" s="194"/>
      <c r="X458" s="194"/>
      <c r="Y458" s="194"/>
      <c r="Z458" s="196"/>
    </row>
    <row r="459" spans="14:26" x14ac:dyDescent="0.25">
      <c r="N459" s="194"/>
      <c r="O459" s="194"/>
      <c r="P459" s="194"/>
      <c r="Q459" s="194"/>
      <c r="R459" s="194"/>
      <c r="S459" s="194"/>
      <c r="T459" s="194"/>
      <c r="U459" s="194"/>
      <c r="V459" s="194"/>
      <c r="W459" s="194"/>
      <c r="X459" s="194"/>
      <c r="Y459" s="194"/>
      <c r="Z459" s="196"/>
    </row>
    <row r="460" spans="14:26" x14ac:dyDescent="0.25">
      <c r="N460" s="194"/>
      <c r="O460" s="194"/>
      <c r="P460" s="194"/>
      <c r="Q460" s="194"/>
      <c r="R460" s="194"/>
      <c r="S460" s="194"/>
      <c r="T460" s="194"/>
      <c r="U460" s="194"/>
      <c r="V460" s="194"/>
      <c r="W460" s="194"/>
      <c r="X460" s="194"/>
      <c r="Y460" s="194"/>
      <c r="Z460" s="196"/>
    </row>
    <row r="461" spans="14:26" x14ac:dyDescent="0.25">
      <c r="N461" s="194"/>
      <c r="O461" s="194"/>
      <c r="P461" s="194"/>
      <c r="Q461" s="194"/>
      <c r="R461" s="194"/>
      <c r="S461" s="194"/>
      <c r="T461" s="194"/>
      <c r="U461" s="194"/>
      <c r="V461" s="194"/>
      <c r="W461" s="194"/>
      <c r="X461" s="194"/>
      <c r="Y461" s="194"/>
      <c r="Z461" s="196"/>
    </row>
    <row r="462" spans="14:26" x14ac:dyDescent="0.25">
      <c r="N462" s="194"/>
      <c r="O462" s="194"/>
      <c r="P462" s="194"/>
      <c r="Q462" s="194"/>
      <c r="R462" s="194"/>
      <c r="S462" s="194"/>
      <c r="T462" s="194"/>
      <c r="U462" s="194"/>
      <c r="V462" s="194"/>
      <c r="W462" s="194"/>
      <c r="X462" s="194"/>
      <c r="Y462" s="194"/>
      <c r="Z462" s="196"/>
    </row>
    <row r="463" spans="14:26" x14ac:dyDescent="0.25">
      <c r="N463" s="194"/>
      <c r="O463" s="194"/>
      <c r="P463" s="194"/>
      <c r="Q463" s="194"/>
      <c r="R463" s="194"/>
      <c r="S463" s="194"/>
      <c r="T463" s="194"/>
      <c r="U463" s="194"/>
      <c r="V463" s="194"/>
      <c r="W463" s="194"/>
      <c r="X463" s="194"/>
      <c r="Y463" s="194"/>
      <c r="Z463" s="196"/>
    </row>
  </sheetData>
  <sortState ref="AA1:AH97">
    <sortCondition ref="AA1:AA97"/>
    <sortCondition ref="AB1:AB97"/>
  </sortState>
  <mergeCells count="19">
    <mergeCell ref="Q36:V36"/>
    <mergeCell ref="P37:R37"/>
    <mergeCell ref="S37:V37"/>
    <mergeCell ref="P38:R38"/>
    <mergeCell ref="S38:V38"/>
    <mergeCell ref="Q33:T33"/>
    <mergeCell ref="Q34:T34"/>
    <mergeCell ref="Q21:T21"/>
    <mergeCell ref="Q27:T27"/>
    <mergeCell ref="Q28:T28"/>
    <mergeCell ref="Q29:T29"/>
    <mergeCell ref="Q30:T30"/>
    <mergeCell ref="Q31:T31"/>
    <mergeCell ref="Q32:T32"/>
    <mergeCell ref="Q22:T22"/>
    <mergeCell ref="Q23:T23"/>
    <mergeCell ref="Q24:T24"/>
    <mergeCell ref="Q25:T25"/>
    <mergeCell ref="Q26:T26"/>
  </mergeCells>
  <conditionalFormatting sqref="B6:M13">
    <cfRule type="colorScale" priority="1">
      <colorScale>
        <cfvo type="num" val="0"/>
        <cfvo type="max"/>
        <color theme="0"/>
        <color rgb="FFFFFF00"/>
      </colorScale>
    </cfRule>
    <cfRule type="colorScale" priority="2">
      <colorScale>
        <cfvo type="min"/>
        <cfvo type="max"/>
        <color theme="0"/>
        <color rgb="FFFFFF00"/>
      </colorScale>
    </cfRule>
  </conditionalFormatting>
  <pageMargins left="0.62992125984251968" right="0.23622047244094491" top="0.74803149606299213" bottom="0.74803149606299213" header="0.31496062992125984" footer="0.31496062992125984"/>
  <pageSetup paperSize="9" scale="59" orientation="landscape" r:id="rId1"/>
  <headerFooter alignWithMargins="0">
    <oddHeader>&amp;C&amp;F&amp;R&amp;D</oddHeader>
    <oddFooter>&amp;L&amp;Z&amp;F</oddFooter>
  </headerFooter>
  <drawing r:id="rId2"/>
  <legacyDrawing r:id="rId3"/>
  <controls>
    <mc:AlternateContent xmlns:mc="http://schemas.openxmlformats.org/markup-compatibility/2006">
      <mc:Choice Requires="x14">
        <control shapeId="10247" r:id="rId4" name="ClearAll">
          <controlPr defaultSize="0" print="0" autoLine="0" r:id="rId5">
            <anchor moveWithCells="1">
              <from>
                <xdr:col>24</xdr:col>
                <xdr:colOff>428625</xdr:colOff>
                <xdr:row>12</xdr:row>
                <xdr:rowOff>9525</xdr:rowOff>
              </from>
              <to>
                <xdr:col>24</xdr:col>
                <xdr:colOff>1771650</xdr:colOff>
                <xdr:row>13</xdr:row>
                <xdr:rowOff>152400</xdr:rowOff>
              </to>
            </anchor>
          </controlPr>
        </control>
      </mc:Choice>
      <mc:Fallback>
        <control shapeId="10247" r:id="rId4" name="ClearAll"/>
      </mc:Fallback>
    </mc:AlternateContent>
    <mc:AlternateContent xmlns:mc="http://schemas.openxmlformats.org/markup-compatibility/2006">
      <mc:Choice Requires="x14">
        <control shapeId="10246" r:id="rId6" name="ClearAbsorbances">
          <controlPr defaultSize="0" print="0" autoLine="0" r:id="rId7">
            <anchor moveWithCells="1">
              <from>
                <xdr:col>24</xdr:col>
                <xdr:colOff>438150</xdr:colOff>
                <xdr:row>10</xdr:row>
                <xdr:rowOff>9525</xdr:rowOff>
              </from>
              <to>
                <xdr:col>24</xdr:col>
                <xdr:colOff>1790700</xdr:colOff>
                <xdr:row>11</xdr:row>
                <xdr:rowOff>142875</xdr:rowOff>
              </to>
            </anchor>
          </controlPr>
        </control>
      </mc:Choice>
      <mc:Fallback>
        <control shapeId="10246" r:id="rId6" name="ClearAbsorbances"/>
      </mc:Fallback>
    </mc:AlternateContent>
    <mc:AlternateContent xmlns:mc="http://schemas.openxmlformats.org/markup-compatibility/2006">
      <mc:Choice Requires="x14">
        <control shapeId="10245" r:id="rId8" name="ClearSheetsSamples">
          <controlPr defaultSize="0" print="0" autoLine="0" r:id="rId9">
            <anchor moveWithCells="1">
              <from>
                <xdr:col>24</xdr:col>
                <xdr:colOff>447675</xdr:colOff>
                <xdr:row>8</xdr:row>
                <xdr:rowOff>0</xdr:rowOff>
              </from>
              <to>
                <xdr:col>24</xdr:col>
                <xdr:colOff>1781175</xdr:colOff>
                <xdr:row>9</xdr:row>
                <xdr:rowOff>152400</xdr:rowOff>
              </to>
            </anchor>
          </controlPr>
        </control>
      </mc:Choice>
      <mc:Fallback>
        <control shapeId="10245" r:id="rId8" name="ClearSheetsSamples"/>
      </mc:Fallback>
    </mc:AlternateContent>
    <mc:AlternateContent xmlns:mc="http://schemas.openxmlformats.org/markup-compatibility/2006">
      <mc:Choice Requires="x14">
        <control shapeId="10242" r:id="rId10" name="TransPose_Aborbances">
          <controlPr defaultSize="0" print="0" autoLine="0" r:id="rId11">
            <anchor moveWithCells="1">
              <from>
                <xdr:col>13</xdr:col>
                <xdr:colOff>9525</xdr:colOff>
                <xdr:row>3</xdr:row>
                <xdr:rowOff>114300</xdr:rowOff>
              </from>
              <to>
                <xdr:col>15</xdr:col>
                <xdr:colOff>323850</xdr:colOff>
                <xdr:row>5</xdr:row>
                <xdr:rowOff>0</xdr:rowOff>
              </to>
            </anchor>
          </controlPr>
        </control>
      </mc:Choice>
      <mc:Fallback>
        <control shapeId="10242" r:id="rId10" name="TransPose_Aborbances"/>
      </mc:Fallback>
    </mc:AlternateContent>
    <mc:AlternateContent xmlns:mc="http://schemas.openxmlformats.org/markup-compatibility/2006">
      <mc:Choice Requires="x14">
        <control shapeId="10241" r:id="rId12" name="Dotblot">
          <controlPr print="0" autoLine="0" r:id="rId13">
            <anchor moveWithCells="1">
              <from>
                <xdr:col>2</xdr:col>
                <xdr:colOff>352425</xdr:colOff>
                <xdr:row>57</xdr:row>
                <xdr:rowOff>47625</xdr:rowOff>
              </from>
              <to>
                <xdr:col>4</xdr:col>
                <xdr:colOff>314325</xdr:colOff>
                <xdr:row>58</xdr:row>
                <xdr:rowOff>161925</xdr:rowOff>
              </to>
            </anchor>
          </controlPr>
        </control>
      </mc:Choice>
      <mc:Fallback>
        <control shapeId="10241" r:id="rId12" name="Dotblot"/>
      </mc:Fallback>
    </mc:AlternateContent>
    <mc:AlternateContent xmlns:mc="http://schemas.openxmlformats.org/markup-compatibility/2006">
      <mc:Choice Requires="x14">
        <control shapeId="10244" r:id="rId14" name="FillPLASheets">
          <controlPr defaultSize="0" print="0" autoLine="0" r:id="rId15">
            <anchor moveWithCells="1">
              <from>
                <xdr:col>13</xdr:col>
                <xdr:colOff>238125</xdr:colOff>
                <xdr:row>16</xdr:row>
                <xdr:rowOff>142875</xdr:rowOff>
              </from>
              <to>
                <xdr:col>14</xdr:col>
                <xdr:colOff>1000125</xdr:colOff>
                <xdr:row>20</xdr:row>
                <xdr:rowOff>38100</xdr:rowOff>
              </to>
            </anchor>
          </controlPr>
        </control>
      </mc:Choice>
      <mc:Fallback>
        <control shapeId="10244" r:id="rId14" name="FillPLASheets"/>
      </mc:Fallback>
    </mc:AlternateContent>
    <mc:AlternateContent xmlns:mc="http://schemas.openxmlformats.org/markup-compatibility/2006">
      <mc:Choice Requires="x14">
        <control shapeId="10248" r:id="rId16" name="SheetUpdate">
          <controlPr print="0" autoLine="0" r:id="rId17">
            <anchor moveWithCells="1">
              <from>
                <xdr:col>24</xdr:col>
                <xdr:colOff>409575</xdr:colOff>
                <xdr:row>14</xdr:row>
                <xdr:rowOff>104775</xdr:rowOff>
              </from>
              <to>
                <xdr:col>24</xdr:col>
                <xdr:colOff>1771650</xdr:colOff>
                <xdr:row>16</xdr:row>
                <xdr:rowOff>152400</xdr:rowOff>
              </to>
            </anchor>
          </controlPr>
        </control>
      </mc:Choice>
      <mc:Fallback>
        <control shapeId="10248" r:id="rId16" name="SheetUpdate"/>
      </mc:Fallback>
    </mc:AlternateContent>
    <mc:AlternateContent xmlns:mc="http://schemas.openxmlformats.org/markup-compatibility/2006">
      <mc:Choice Requires="x14">
        <control shapeId="10250" r:id="rId18" name="RestoreAbs">
          <controlPr defaultSize="0" print="0" autoLine="0" r:id="rId19">
            <anchor moveWithCells="1">
              <from>
                <xdr:col>13</xdr:col>
                <xdr:colOff>200025</xdr:colOff>
                <xdr:row>44</xdr:row>
                <xdr:rowOff>104775</xdr:rowOff>
              </from>
              <to>
                <xdr:col>14</xdr:col>
                <xdr:colOff>933450</xdr:colOff>
                <xdr:row>46</xdr:row>
                <xdr:rowOff>19050</xdr:rowOff>
              </to>
            </anchor>
          </controlPr>
        </control>
      </mc:Choice>
      <mc:Fallback>
        <control shapeId="10250" r:id="rId18" name="RestoreAb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B1:S36"/>
  <sheetViews>
    <sheetView workbookViewId="0"/>
  </sheetViews>
  <sheetFormatPr defaultRowHeight="14.25" x14ac:dyDescent="0.2"/>
  <cols>
    <col min="1" max="1" width="2" style="462" customWidth="1"/>
    <col min="2" max="2" width="11.140625" style="462" customWidth="1"/>
    <col min="3" max="16384" width="9.140625" style="462"/>
  </cols>
  <sheetData>
    <row r="1" spans="2:9" ht="14.25" customHeight="1" thickBot="1" x14ac:dyDescent="0.25"/>
    <row r="2" spans="2:9" x14ac:dyDescent="0.2">
      <c r="B2" s="434" t="str">
        <f>Sample1!M4</f>
        <v>Standard</v>
      </c>
      <c r="C2" s="463" t="str">
        <f>Sample1!N4</f>
        <v>l</v>
      </c>
      <c r="D2" s="463" t="str">
        <f>Sample1!O4</f>
        <v>l</v>
      </c>
      <c r="E2" s="463" t="str">
        <f>Sample1!P4</f>
        <v>l</v>
      </c>
      <c r="F2" s="463" t="str">
        <f>Sample1!Q4</f>
        <v>l</v>
      </c>
      <c r="G2" s="463" t="str">
        <f>Sample1!R4</f>
        <v>l</v>
      </c>
      <c r="H2" s="464" t="str">
        <f>Sample1!S4</f>
        <v>l</v>
      </c>
    </row>
    <row r="3" spans="2:9" x14ac:dyDescent="0.2">
      <c r="B3" s="435"/>
      <c r="C3" s="140"/>
      <c r="D3" s="141"/>
      <c r="E3" s="141"/>
      <c r="F3" s="141"/>
      <c r="G3" s="141"/>
      <c r="H3" s="436"/>
    </row>
    <row r="4" spans="2:9" ht="15" thickBot="1" x14ac:dyDescent="0.25">
      <c r="B4" s="439" t="str">
        <f>Sample1!M6</f>
        <v>Dose</v>
      </c>
      <c r="C4" s="465" t="str">
        <f>Sample1!N6</f>
        <v>Respons</v>
      </c>
      <c r="D4" s="440"/>
      <c r="E4" s="440"/>
      <c r="F4" s="440"/>
      <c r="G4" s="440"/>
      <c r="H4" s="441"/>
    </row>
    <row r="5" spans="2:9" ht="15" thickBot="1" x14ac:dyDescent="0.25">
      <c r="B5" s="442"/>
      <c r="C5" s="437">
        <f>Sample1!N7</f>
        <v>1</v>
      </c>
      <c r="D5" s="437">
        <f>Sample1!O7</f>
        <v>2</v>
      </c>
      <c r="E5" s="437">
        <f>Sample1!P7</f>
        <v>3</v>
      </c>
      <c r="F5" s="437">
        <f>Sample1!Q7</f>
        <v>4</v>
      </c>
      <c r="G5" s="437">
        <f>Sample1!R7</f>
        <v>5</v>
      </c>
      <c r="H5" s="438">
        <f>Sample1!S7</f>
        <v>6</v>
      </c>
      <c r="I5" s="489" t="s">
        <v>148</v>
      </c>
    </row>
    <row r="6" spans="2:9" x14ac:dyDescent="0.2">
      <c r="B6" s="452"/>
      <c r="C6" s="445"/>
      <c r="D6" s="446"/>
      <c r="E6" s="446"/>
      <c r="F6" s="446"/>
      <c r="G6" s="446"/>
      <c r="H6" s="447"/>
      <c r="I6" s="487"/>
    </row>
    <row r="7" spans="2:9" x14ac:dyDescent="0.2">
      <c r="B7" s="453"/>
      <c r="C7" s="443"/>
      <c r="D7" s="444"/>
      <c r="E7" s="444"/>
      <c r="F7" s="444"/>
      <c r="G7" s="444"/>
      <c r="H7" s="448"/>
      <c r="I7" s="487"/>
    </row>
    <row r="8" spans="2:9" x14ac:dyDescent="0.2">
      <c r="B8" s="453"/>
      <c r="C8" s="443"/>
      <c r="D8" s="444"/>
      <c r="E8" s="444"/>
      <c r="F8" s="444"/>
      <c r="G8" s="444"/>
      <c r="H8" s="448"/>
      <c r="I8" s="487"/>
    </row>
    <row r="9" spans="2:9" x14ac:dyDescent="0.2">
      <c r="B9" s="453"/>
      <c r="C9" s="443"/>
      <c r="D9" s="444"/>
      <c r="E9" s="444"/>
      <c r="F9" s="444"/>
      <c r="G9" s="444"/>
      <c r="H9" s="448"/>
      <c r="I9" s="487"/>
    </row>
    <row r="10" spans="2:9" x14ac:dyDescent="0.2">
      <c r="B10" s="453"/>
      <c r="C10" s="443"/>
      <c r="D10" s="444"/>
      <c r="E10" s="444"/>
      <c r="F10" s="444"/>
      <c r="G10" s="444"/>
      <c r="H10" s="448"/>
      <c r="I10" s="487"/>
    </row>
    <row r="11" spans="2:9" x14ac:dyDescent="0.2">
      <c r="B11" s="453"/>
      <c r="C11" s="443"/>
      <c r="D11" s="444"/>
      <c r="E11" s="444"/>
      <c r="F11" s="444"/>
      <c r="G11" s="444"/>
      <c r="H11" s="448"/>
      <c r="I11" s="487"/>
    </row>
    <row r="12" spans="2:9" ht="15" thickBot="1" x14ac:dyDescent="0.25">
      <c r="B12" s="454"/>
      <c r="C12" s="449"/>
      <c r="D12" s="450"/>
      <c r="E12" s="450"/>
      <c r="F12" s="450"/>
      <c r="G12" s="450"/>
      <c r="H12" s="451"/>
      <c r="I12" s="488"/>
    </row>
    <row r="13" spans="2:9" ht="15" thickBot="1" x14ac:dyDescent="0.25"/>
    <row r="14" spans="2:9" x14ac:dyDescent="0.2">
      <c r="B14" s="478" t="s">
        <v>147</v>
      </c>
      <c r="C14" s="479" t="s">
        <v>149</v>
      </c>
      <c r="D14" s="480"/>
    </row>
    <row r="15" spans="2:9" x14ac:dyDescent="0.2">
      <c r="B15" s="481"/>
      <c r="C15" s="482"/>
      <c r="D15" s="483"/>
      <c r="F15" s="564" t="s">
        <v>150</v>
      </c>
    </row>
    <row r="16" spans="2:9" x14ac:dyDescent="0.2">
      <c r="B16" s="481"/>
      <c r="C16" s="482"/>
      <c r="D16" s="483"/>
      <c r="F16" s="564" t="s">
        <v>151</v>
      </c>
    </row>
    <row r="17" spans="2:19" x14ac:dyDescent="0.2">
      <c r="B17" s="481"/>
      <c r="C17" s="482"/>
      <c r="D17" s="483"/>
      <c r="F17" s="564" t="s">
        <v>152</v>
      </c>
    </row>
    <row r="18" spans="2:19" x14ac:dyDescent="0.2">
      <c r="B18" s="481"/>
      <c r="C18" s="482"/>
      <c r="D18" s="483"/>
      <c r="F18" s="564" t="s">
        <v>153</v>
      </c>
    </row>
    <row r="19" spans="2:19" x14ac:dyDescent="0.2">
      <c r="B19" s="481"/>
      <c r="C19" s="482"/>
      <c r="D19" s="483"/>
    </row>
    <row r="20" spans="2:19" x14ac:dyDescent="0.2">
      <c r="B20" s="481"/>
      <c r="C20" s="482"/>
      <c r="D20" s="483"/>
    </row>
    <row r="21" spans="2:19" ht="15" thickBot="1" x14ac:dyDescent="0.25">
      <c r="B21" s="484"/>
      <c r="C21" s="485"/>
      <c r="D21" s="486"/>
    </row>
    <row r="23" spans="2:19" x14ac:dyDescent="0.2">
      <c r="B23" s="211"/>
      <c r="C23" s="212"/>
      <c r="D23" s="212"/>
      <c r="E23" s="212"/>
      <c r="F23" s="212"/>
      <c r="G23" s="212"/>
      <c r="H23" s="212"/>
      <c r="I23" s="212"/>
      <c r="J23" s="212"/>
      <c r="K23" s="212"/>
      <c r="L23" s="212"/>
      <c r="M23" s="213"/>
    </row>
    <row r="24" spans="2:19" x14ac:dyDescent="0.2">
      <c r="B24" s="214"/>
      <c r="C24" s="215"/>
      <c r="D24" s="215"/>
      <c r="E24" s="215"/>
      <c r="F24" s="215"/>
      <c r="G24" s="215"/>
      <c r="H24" s="215"/>
      <c r="I24" s="215"/>
      <c r="J24" s="215"/>
      <c r="K24" s="215"/>
      <c r="L24" s="215"/>
      <c r="M24" s="216"/>
    </row>
    <row r="25" spans="2:19" x14ac:dyDescent="0.2">
      <c r="B25" s="214"/>
      <c r="C25" s="215"/>
      <c r="D25" s="215"/>
      <c r="E25" s="215"/>
      <c r="F25" s="215"/>
      <c r="G25" s="215"/>
      <c r="H25" s="215"/>
      <c r="I25" s="215"/>
      <c r="J25" s="215"/>
      <c r="K25" s="215"/>
      <c r="L25" s="215"/>
      <c r="M25" s="216"/>
    </row>
    <row r="26" spans="2:19" x14ac:dyDescent="0.2">
      <c r="B26" s="214"/>
      <c r="C26" s="215"/>
      <c r="D26" s="215"/>
      <c r="E26" s="215"/>
      <c r="F26" s="215"/>
      <c r="G26" s="215"/>
      <c r="H26" s="215"/>
      <c r="I26" s="215"/>
      <c r="J26" s="215"/>
      <c r="K26" s="215"/>
      <c r="L26" s="215"/>
      <c r="M26" s="216"/>
    </row>
    <row r="27" spans="2:19" x14ac:dyDescent="0.2">
      <c r="B27" s="214"/>
      <c r="C27" s="215"/>
      <c r="D27" s="215"/>
      <c r="E27" s="215"/>
      <c r="F27" s="215"/>
      <c r="G27" s="215"/>
      <c r="H27" s="215"/>
      <c r="I27" s="215"/>
      <c r="J27" s="215"/>
      <c r="K27" s="215"/>
      <c r="L27" s="215"/>
      <c r="M27" s="216"/>
    </row>
    <row r="28" spans="2:19" x14ac:dyDescent="0.2">
      <c r="B28" s="214"/>
      <c r="C28" s="215"/>
      <c r="D28" s="215"/>
      <c r="E28" s="215"/>
      <c r="F28" s="215"/>
      <c r="G28" s="215"/>
      <c r="H28" s="215"/>
      <c r="I28" s="215"/>
      <c r="J28" s="215"/>
      <c r="K28" s="215"/>
      <c r="L28" s="215"/>
      <c r="M28" s="216"/>
    </row>
    <row r="29" spans="2:19" x14ac:dyDescent="0.2">
      <c r="B29" s="214"/>
      <c r="C29" s="215"/>
      <c r="D29" s="215"/>
      <c r="E29" s="215"/>
      <c r="F29" s="215"/>
      <c r="G29" s="215"/>
      <c r="H29" s="215"/>
      <c r="I29" s="215"/>
      <c r="J29" s="215"/>
      <c r="K29" s="215"/>
      <c r="L29" s="215"/>
      <c r="M29" s="216"/>
    </row>
    <row r="30" spans="2:19" x14ac:dyDescent="0.2">
      <c r="B30" s="217"/>
      <c r="C30" s="218"/>
      <c r="D30" s="218"/>
      <c r="E30" s="218"/>
      <c r="F30" s="218"/>
      <c r="G30" s="218"/>
      <c r="H30" s="218"/>
      <c r="I30" s="218"/>
      <c r="J30" s="218"/>
      <c r="K30" s="218"/>
      <c r="L30" s="218"/>
      <c r="M30" s="219"/>
      <c r="R30" s="314"/>
      <c r="S30" s="313"/>
    </row>
    <row r="31" spans="2:19" x14ac:dyDescent="0.2">
      <c r="R31" s="313"/>
      <c r="S31" s="313"/>
    </row>
    <row r="32" spans="2:19" x14ac:dyDescent="0.2">
      <c r="R32" s="314"/>
      <c r="S32" s="313"/>
    </row>
    <row r="33" spans="18:19" x14ac:dyDescent="0.2">
      <c r="R33" s="313"/>
      <c r="S33" s="313"/>
    </row>
    <row r="34" spans="18:19" x14ac:dyDescent="0.2">
      <c r="R34" s="314"/>
      <c r="S34" s="314"/>
    </row>
    <row r="35" spans="18:19" x14ac:dyDescent="0.2">
      <c r="R35" s="314"/>
      <c r="S35" s="313"/>
    </row>
    <row r="36" spans="18:19" x14ac:dyDescent="0.2">
      <c r="R36" s="313"/>
      <c r="S36" s="31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RestoreAbsorbances">
          <controlPr defaultSize="0" print="0" autoLine="0" r:id="rId5">
            <anchor moveWithCells="1">
              <from>
                <xdr:col>6</xdr:col>
                <xdr:colOff>466725</xdr:colOff>
                <xdr:row>20</xdr:row>
                <xdr:rowOff>28575</xdr:rowOff>
              </from>
              <to>
                <xdr:col>8</xdr:col>
                <xdr:colOff>600075</xdr:colOff>
                <xdr:row>21</xdr:row>
                <xdr:rowOff>161925</xdr:rowOff>
              </to>
            </anchor>
          </controlPr>
        </control>
      </mc:Choice>
      <mc:Fallback>
        <control shapeId="25605" r:id="rId4" name="RestoreAbsorbances"/>
      </mc:Fallback>
    </mc:AlternateContent>
    <mc:AlternateContent xmlns:mc="http://schemas.openxmlformats.org/markup-compatibility/2006">
      <mc:Choice Requires="x14">
        <control shapeId="25601" r:id="rId6" name="LogitOptimize">
          <controlPr defaultSize="0" print="0" autoLine="0" r:id="rId7">
            <anchor moveWithCells="1">
              <from>
                <xdr:col>6</xdr:col>
                <xdr:colOff>485775</xdr:colOff>
                <xdr:row>12</xdr:row>
                <xdr:rowOff>38100</xdr:rowOff>
              </from>
              <to>
                <xdr:col>9</xdr:col>
                <xdr:colOff>0</xdr:colOff>
                <xdr:row>13</xdr:row>
                <xdr:rowOff>152400</xdr:rowOff>
              </to>
            </anchor>
          </controlPr>
        </control>
      </mc:Choice>
      <mc:Fallback>
        <control shapeId="25601" r:id="rId6" name="LogitOptim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  <pageSetUpPr fitToPage="1"/>
  </sheetPr>
  <dimension ref="A1:A5"/>
  <sheetViews>
    <sheetView zoomScale="70" zoomScaleNormal="70" workbookViewId="0">
      <selection activeCell="D1" sqref="D1"/>
    </sheetView>
  </sheetViews>
  <sheetFormatPr defaultRowHeight="15" x14ac:dyDescent="0.25"/>
  <cols>
    <col min="1" max="17" width="32.85546875" customWidth="1"/>
  </cols>
  <sheetData>
    <row r="1" ht="172.5" customHeight="1" x14ac:dyDescent="0.25"/>
    <row r="2" ht="172.5" customHeight="1" x14ac:dyDescent="0.25"/>
    <row r="3" ht="172.5" customHeight="1" x14ac:dyDescent="0.25"/>
    <row r="4" ht="172.5" customHeight="1" x14ac:dyDescent="0.25"/>
    <row r="5" ht="173.25" customHeight="1" x14ac:dyDescent="0.25"/>
  </sheetData>
  <pageMargins left="0.70866141732283472" right="0.70866141732283472" top="0.74803149606299213" bottom="0.74803149606299213" header="0.31496062992125984" footer="0.31496062992125984"/>
  <pageSetup paperSize="9" scale="87" orientation="portrait" r:id="rId1"/>
  <headerFooter>
    <oddFooter>&amp;C&amp;Z&amp;F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3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2.5703125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0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0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0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0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0</v>
      </c>
    </row>
    <row r="8" spans="1:49" ht="12.75" customHeight="1" x14ac:dyDescent="0.2">
      <c r="A8" s="27"/>
      <c r="B8" s="55"/>
      <c r="C8" s="49">
        <v>1</v>
      </c>
      <c r="D8" s="563"/>
      <c r="E8" s="265"/>
      <c r="F8" s="265"/>
      <c r="G8" s="265"/>
      <c r="H8" s="265"/>
      <c r="I8" s="266"/>
      <c r="J8" s="265"/>
      <c r="K8" s="148"/>
      <c r="L8" s="29">
        <v>1</v>
      </c>
      <c r="M8" s="563"/>
      <c r="N8" s="265"/>
      <c r="O8" s="265"/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0</v>
      </c>
    </row>
    <row r="9" spans="1:49" ht="12.75" customHeight="1" x14ac:dyDescent="0.2">
      <c r="A9" s="27"/>
      <c r="B9" s="55"/>
      <c r="C9" s="49">
        <v>2</v>
      </c>
      <c r="D9" s="563"/>
      <c r="E9" s="265"/>
      <c r="F9" s="265"/>
      <c r="G9" s="265"/>
      <c r="H9" s="265"/>
      <c r="I9" s="266"/>
      <c r="J9" s="265"/>
      <c r="K9" s="148"/>
      <c r="L9" s="29">
        <v>2</v>
      </c>
      <c r="M9" s="563"/>
      <c r="N9" s="265"/>
      <c r="O9" s="265"/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0</v>
      </c>
    </row>
    <row r="10" spans="1:49" ht="12.75" customHeight="1" x14ac:dyDescent="0.2">
      <c r="A10" s="27"/>
      <c r="B10" s="55"/>
      <c r="C10" s="49">
        <v>3</v>
      </c>
      <c r="D10" s="563"/>
      <c r="E10" s="265"/>
      <c r="F10" s="265"/>
      <c r="G10" s="265"/>
      <c r="H10" s="265"/>
      <c r="I10" s="266"/>
      <c r="J10" s="265"/>
      <c r="K10" s="148"/>
      <c r="L10" s="29">
        <v>3</v>
      </c>
      <c r="M10" s="563"/>
      <c r="N10" s="265"/>
      <c r="O10" s="265"/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0</v>
      </c>
    </row>
    <row r="11" spans="1:49" ht="12.75" customHeight="1" x14ac:dyDescent="0.2">
      <c r="A11" s="27"/>
      <c r="B11" s="55"/>
      <c r="C11" s="49">
        <v>4</v>
      </c>
      <c r="D11" s="563"/>
      <c r="E11" s="265"/>
      <c r="F11" s="265"/>
      <c r="G11" s="265"/>
      <c r="H11" s="265"/>
      <c r="I11" s="266"/>
      <c r="J11" s="265"/>
      <c r="K11" s="148"/>
      <c r="L11" s="29">
        <v>4</v>
      </c>
      <c r="M11" s="563"/>
      <c r="N11" s="265"/>
      <c r="O11" s="265"/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 t="e">
        <f>AD9/AD5</f>
        <v>#DIV/0!</v>
      </c>
    </row>
    <row r="12" spans="1:49" ht="12.75" customHeight="1" x14ac:dyDescent="0.2">
      <c r="A12" s="27"/>
      <c r="B12" s="55"/>
      <c r="C12" s="49">
        <v>5</v>
      </c>
      <c r="D12" s="563"/>
      <c r="E12" s="265"/>
      <c r="F12" s="265"/>
      <c r="G12" s="265"/>
      <c r="H12" s="265"/>
      <c r="I12" s="455"/>
      <c r="J12" s="265"/>
      <c r="K12" s="148"/>
      <c r="L12" s="29">
        <v>5</v>
      </c>
      <c r="M12" s="563"/>
      <c r="N12" s="265"/>
      <c r="O12" s="265"/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 t="e">
        <f>AD10/AD6</f>
        <v>#DIV/0!</v>
      </c>
    </row>
    <row r="13" spans="1:49" ht="12.75" customHeight="1" x14ac:dyDescent="0.2">
      <c r="A13" s="27"/>
      <c r="B13" s="55"/>
      <c r="C13" s="49">
        <v>6</v>
      </c>
      <c r="D13" s="563"/>
      <c r="E13" s="266"/>
      <c r="F13" s="266"/>
      <c r="G13" s="266"/>
      <c r="H13" s="266"/>
      <c r="I13" s="266"/>
      <c r="J13" s="265"/>
      <c r="K13" s="267"/>
      <c r="L13" s="29">
        <v>6</v>
      </c>
      <c r="M13" s="563"/>
      <c r="N13" s="266"/>
      <c r="O13" s="266"/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 t="e">
        <f>AD7/AD5</f>
        <v>#DIV/0!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 t="e">
        <f>AD8/AD6</f>
        <v>#DIV/0!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 t="e">
        <f>SUM(AI17:AI23)</f>
        <v>#DIV/0!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 t="e">
        <f>SUM(AI26:AI32)</f>
        <v>#DIV/0!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0</v>
      </c>
      <c r="AF17" s="353">
        <f>COUNTIF(AP17:AU17,"&gt;0")</f>
        <v>0</v>
      </c>
      <c r="AG17" s="354">
        <f>SUM(AP17:AU17)</f>
        <v>0</v>
      </c>
      <c r="AH17" s="354">
        <f t="shared" ref="AH17:AH23" si="0">AF17*AW17</f>
        <v>0</v>
      </c>
      <c r="AI17" s="354" t="e">
        <f t="shared" ref="AI17:AI23" si="1">AF17*(AW17-$AD$11)^2</f>
        <v>#DIV/0!</v>
      </c>
      <c r="AJ17" s="354">
        <f t="shared" ref="AJ17:AJ23" si="2">IF(AF17=0,0,+AF17*(AG17/AF17-$AD$13)^2)</f>
        <v>0</v>
      </c>
      <c r="AK17" s="354">
        <f t="shared" ref="AK17:AK23" si="3">IF(AF17=0,0,+AF17*(AG17/AF17-$AD$13)*(AW17-$AD$11))</f>
        <v>0</v>
      </c>
      <c r="AL17" s="355">
        <f>AP17^2+AQ17^2+AR17^2+AS17^2+AT17^2+AU17^2</f>
        <v>0</v>
      </c>
      <c r="AN17" s="13" t="s">
        <v>53</v>
      </c>
      <c r="AO17" s="331"/>
      <c r="AP17" s="331"/>
      <c r="AQ17" s="331"/>
      <c r="AR17" s="331"/>
      <c r="AS17" s="331"/>
      <c r="AT17" s="331"/>
      <c r="AU17" s="331"/>
      <c r="AV17" s="332" t="str">
        <f t="shared" ref="AV17:AV23" si="4">IF(AO17&gt;0,AW17*$AD$45+$AD$46,"")</f>
        <v/>
      </c>
      <c r="AW17" s="331" t="str">
        <f t="shared" ref="AW17:AW23" si="5">IF(AO17&gt;0,LOG(AO17),"")</f>
        <v/>
      </c>
    </row>
    <row r="18" spans="1:49" ht="12.75" customHeight="1" x14ac:dyDescent="0.2">
      <c r="A18" s="27"/>
      <c r="B18" s="55"/>
      <c r="C18" s="46"/>
      <c r="D18" s="187" t="s">
        <v>106</v>
      </c>
      <c r="E18" s="45"/>
      <c r="F18" s="73"/>
      <c r="G18" s="73"/>
      <c r="H18" s="73"/>
      <c r="I18" s="73"/>
      <c r="J18" s="44"/>
      <c r="K18" s="34"/>
      <c r="L18" s="273"/>
      <c r="M18" s="284" t="s">
        <v>128</v>
      </c>
      <c r="N18" s="274"/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0</v>
      </c>
      <c r="AF18" s="340">
        <f t="shared" ref="AF18:AF23" si="6">COUNTIF(AP18:AU18,"&gt;0")</f>
        <v>0</v>
      </c>
      <c r="AG18" s="343">
        <f t="shared" ref="AG18:AG23" si="7">SUM(AP18:AU18)</f>
        <v>0</v>
      </c>
      <c r="AH18" s="343">
        <f t="shared" si="0"/>
        <v>0</v>
      </c>
      <c r="AI18" s="343" t="e">
        <f t="shared" si="1"/>
        <v>#DIV/0!</v>
      </c>
      <c r="AJ18" s="343">
        <f t="shared" si="2"/>
        <v>0</v>
      </c>
      <c r="AK18" s="343">
        <f t="shared" si="3"/>
        <v>0</v>
      </c>
      <c r="AL18" s="344">
        <f t="shared" ref="AL18:AL23" si="8">AP18^2+AQ18^2+AR18^2+AS18^2+AT18^2+AU18^2</f>
        <v>0</v>
      </c>
      <c r="AN18" s="124"/>
      <c r="AO18" s="331"/>
      <c r="AP18" s="331"/>
      <c r="AQ18" s="331"/>
      <c r="AR18" s="331"/>
      <c r="AS18" s="331"/>
      <c r="AT18" s="331"/>
      <c r="AU18" s="331"/>
      <c r="AV18" s="332" t="str">
        <f t="shared" si="4"/>
        <v/>
      </c>
      <c r="AW18" s="331" t="str">
        <f t="shared" si="5"/>
        <v/>
      </c>
    </row>
    <row r="19" spans="1:49" ht="12.75" customHeight="1" x14ac:dyDescent="0.2">
      <c r="A19" s="27"/>
      <c r="B19" s="55"/>
      <c r="C19" s="172"/>
      <c r="D19" s="186" t="s">
        <v>107</v>
      </c>
      <c r="E19" s="490" t="e">
        <f>AC53*N19</f>
        <v>#DIV/0!</v>
      </c>
      <c r="F19" s="74">
        <f>O19</f>
        <v>0</v>
      </c>
      <c r="G19" s="74"/>
      <c r="H19" s="74"/>
      <c r="I19" s="74"/>
      <c r="J19" s="75"/>
      <c r="K19" s="34"/>
      <c r="L19" s="278"/>
      <c r="M19" s="285" t="s">
        <v>129</v>
      </c>
      <c r="N19" s="269"/>
      <c r="O19" s="269"/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0</v>
      </c>
      <c r="AF19" s="340">
        <f t="shared" si="6"/>
        <v>0</v>
      </c>
      <c r="AG19" s="343">
        <f t="shared" si="7"/>
        <v>0</v>
      </c>
      <c r="AH19" s="343">
        <f t="shared" si="0"/>
        <v>0</v>
      </c>
      <c r="AI19" s="343" t="e">
        <f t="shared" si="1"/>
        <v>#DIV/0!</v>
      </c>
      <c r="AJ19" s="343">
        <f t="shared" si="2"/>
        <v>0</v>
      </c>
      <c r="AK19" s="343">
        <f t="shared" si="3"/>
        <v>0</v>
      </c>
      <c r="AL19" s="344">
        <f t="shared" si="8"/>
        <v>0</v>
      </c>
      <c r="AN19" s="124"/>
      <c r="AO19" s="331"/>
      <c r="AP19" s="331"/>
      <c r="AQ19" s="331"/>
      <c r="AR19" s="331"/>
      <c r="AS19" s="331"/>
      <c r="AT19" s="331"/>
      <c r="AU19" s="331"/>
      <c r="AV19" s="332" t="str">
        <f t="shared" si="4"/>
        <v/>
      </c>
      <c r="AW19" s="331" t="str">
        <f t="shared" si="5"/>
        <v/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e">
        <f>"("&amp;TEXT(MIN(AD54:AE54),"0.#0")&amp;" - "&amp;TEXT(MAX(AD54:AE54),"0.#0) ")&amp;"= +/-"</f>
        <v>#VALUE!</v>
      </c>
      <c r="F20" s="491"/>
      <c r="G20" s="131" t="e">
        <f>ABS((AD54-AE54)/(2*E19))</f>
        <v>#DIV/0!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0</v>
      </c>
      <c r="AF20" s="340">
        <f t="shared" si="6"/>
        <v>0</v>
      </c>
      <c r="AG20" s="343">
        <f t="shared" si="7"/>
        <v>0</v>
      </c>
      <c r="AH20" s="343">
        <f t="shared" si="0"/>
        <v>0</v>
      </c>
      <c r="AI20" s="343" t="e">
        <f t="shared" si="1"/>
        <v>#DIV/0!</v>
      </c>
      <c r="AJ20" s="343">
        <f t="shared" si="2"/>
        <v>0</v>
      </c>
      <c r="AK20" s="343">
        <f t="shared" si="3"/>
        <v>0</v>
      </c>
      <c r="AL20" s="344">
        <f t="shared" si="8"/>
        <v>0</v>
      </c>
      <c r="AN20" s="124"/>
      <c r="AO20" s="331"/>
      <c r="AP20" s="331"/>
      <c r="AQ20" s="331"/>
      <c r="AR20" s="331"/>
      <c r="AS20" s="331"/>
      <c r="AT20" s="331"/>
      <c r="AU20" s="331"/>
      <c r="AV20" s="332" t="str">
        <f t="shared" si="4"/>
        <v/>
      </c>
      <c r="AW20" s="331" t="str">
        <f t="shared" si="5"/>
        <v/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 t="e">
        <f>(AD17+AD18)/(AD15+AD16)</f>
        <v>#DIV/0!</v>
      </c>
      <c r="AF21" s="340">
        <f t="shared" si="6"/>
        <v>0</v>
      </c>
      <c r="AG21" s="343">
        <f t="shared" si="7"/>
        <v>0</v>
      </c>
      <c r="AH21" s="343">
        <f t="shared" si="0"/>
        <v>0</v>
      </c>
      <c r="AI21" s="343" t="e">
        <f t="shared" si="1"/>
        <v>#DIV/0!</v>
      </c>
      <c r="AJ21" s="343">
        <f t="shared" si="2"/>
        <v>0</v>
      </c>
      <c r="AK21" s="343">
        <f t="shared" si="3"/>
        <v>0</v>
      </c>
      <c r="AL21" s="344">
        <f t="shared" si="8"/>
        <v>0</v>
      </c>
      <c r="AN21" s="124"/>
      <c r="AO21" s="331"/>
      <c r="AP21" s="331"/>
      <c r="AQ21" s="331"/>
      <c r="AR21" s="331"/>
      <c r="AS21" s="331"/>
      <c r="AT21" s="331"/>
      <c r="AU21" s="331"/>
      <c r="AV21" s="332" t="str">
        <f t="shared" si="4"/>
        <v/>
      </c>
      <c r="AW21" s="331" t="str">
        <f t="shared" si="5"/>
        <v/>
      </c>
    </row>
    <row r="22" spans="1:49" ht="12.75" customHeight="1" x14ac:dyDescent="0.2">
      <c r="A22" s="27"/>
      <c r="B22" s="55"/>
      <c r="C22" s="43"/>
      <c r="D22" s="189" t="s">
        <v>105</v>
      </c>
      <c r="E22" s="589"/>
      <c r="F22" s="589"/>
      <c r="G22" s="118"/>
      <c r="H22" s="118"/>
      <c r="I22" s="118"/>
      <c r="J22" s="119"/>
      <c r="K22" s="34"/>
      <c r="L22" s="31" t="s">
        <v>46</v>
      </c>
      <c r="M22" s="425"/>
      <c r="N22" s="427" t="e">
        <f>AG37</f>
        <v>#DIV/0!</v>
      </c>
      <c r="O22" s="136" t="e">
        <f t="shared" ref="N22:O24" si="9">AH37</f>
        <v>#NUM!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 t="e">
        <f>TINV(0.05,AE41)</f>
        <v>#NUM!</v>
      </c>
      <c r="AF22" s="340">
        <f t="shared" si="6"/>
        <v>0</v>
      </c>
      <c r="AG22" s="343">
        <f t="shared" si="7"/>
        <v>0</v>
      </c>
      <c r="AH22" s="343">
        <f t="shared" si="0"/>
        <v>0</v>
      </c>
      <c r="AI22" s="343" t="e">
        <f t="shared" si="1"/>
        <v>#DIV/0!</v>
      </c>
      <c r="AJ22" s="343">
        <f t="shared" si="2"/>
        <v>0</v>
      </c>
      <c r="AK22" s="343">
        <f t="shared" si="3"/>
        <v>0</v>
      </c>
      <c r="AL22" s="344">
        <f t="shared" si="8"/>
        <v>0</v>
      </c>
      <c r="AN22" s="124"/>
      <c r="AO22" s="331"/>
      <c r="AP22" s="331"/>
      <c r="AQ22" s="331"/>
      <c r="AR22" s="331"/>
      <c r="AS22" s="331"/>
      <c r="AT22" s="331"/>
      <c r="AU22" s="331"/>
      <c r="AV22" s="332" t="str">
        <f t="shared" si="4"/>
        <v/>
      </c>
      <c r="AW22" s="331" t="str">
        <f t="shared" si="5"/>
        <v/>
      </c>
    </row>
    <row r="23" spans="1:49" ht="12.75" customHeight="1" x14ac:dyDescent="0.2">
      <c r="A23" s="27"/>
      <c r="B23" s="55"/>
      <c r="C23" s="77"/>
      <c r="D23" s="190" t="s">
        <v>104</v>
      </c>
      <c r="E23" s="586"/>
      <c r="F23" s="587"/>
      <c r="G23" s="587"/>
      <c r="H23" s="587"/>
      <c r="I23" s="587"/>
      <c r="J23" s="588"/>
      <c r="K23" s="34"/>
      <c r="L23" s="116" t="s">
        <v>71</v>
      </c>
      <c r="M23" s="89"/>
      <c r="N23" s="427" t="e">
        <f>AG38</f>
        <v>#DIV/0!</v>
      </c>
      <c r="O23" s="136" t="e">
        <f t="shared" si="9"/>
        <v>#NUM!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 t="e">
        <f>SQRT(AF41)</f>
        <v>#DIV/0!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 t="e">
        <f t="shared" si="1"/>
        <v>#DIV/0!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/>
      <c r="E24" s="181"/>
      <c r="F24" s="51"/>
      <c r="G24" s="183"/>
      <c r="H24" s="181"/>
      <c r="I24" s="120"/>
      <c r="J24" s="121"/>
      <c r="K24" s="34"/>
      <c r="L24" s="117" t="s">
        <v>72</v>
      </c>
      <c r="M24" s="426"/>
      <c r="N24" s="427" t="e">
        <f t="shared" si="9"/>
        <v>#DIV/0!</v>
      </c>
      <c r="O24" s="136" t="e">
        <f t="shared" si="9"/>
        <v>#NUM!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 t="e">
        <f>AD22^2*AD23^2/(AD21^2*(AD15+AD16))</f>
        <v>#NUM!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/>
      <c r="E25" s="182"/>
      <c r="F25" s="185"/>
      <c r="G25" s="184"/>
      <c r="H25" s="182"/>
      <c r="I25" s="122"/>
      <c r="J25" s="123"/>
      <c r="K25" s="34"/>
      <c r="L25" s="429" t="s">
        <v>159</v>
      </c>
      <c r="M25" s="430"/>
      <c r="N25" s="428" t="e">
        <f>AD48/AD45</f>
        <v>#DIV/0!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 t="e">
        <f>(AD23^2/AD21^2)*((1/AD5+1/AD6)+(AD28-AD11+AD12)^2/(AD15+AD16))</f>
        <v>#DIV/0!</v>
      </c>
      <c r="AF26" s="359">
        <f>COUNTIF(AP26:AU26,"&gt;0")</f>
        <v>0</v>
      </c>
      <c r="AG26" s="360">
        <f t="shared" ref="AG26:AG32" si="10">SUM(AP26:AU26)</f>
        <v>0</v>
      </c>
      <c r="AH26" s="360">
        <f t="shared" ref="AH26:AH32" si="11">AF26*AW26</f>
        <v>0</v>
      </c>
      <c r="AI26" s="360" t="e">
        <f t="shared" ref="AI26:AI32" si="12">AF26*(AW26-$AD$12)^2</f>
        <v>#DIV/0!</v>
      </c>
      <c r="AJ26" s="360">
        <f t="shared" ref="AJ26:AJ32" si="13">IF(AF26=0,0,+AF26*(AG26/AF26-$AD$14)^2)</f>
        <v>0</v>
      </c>
      <c r="AK26" s="360">
        <f t="shared" ref="AK26:AK32" si="14">IF(AF26=0,0,+AF26*(AG26/AF26-$AD$14)*(AW26-$AD$12))</f>
        <v>0</v>
      </c>
      <c r="AL26" s="361">
        <f t="shared" ref="AL26:AL32" si="15">AP26^2+AQ26^2+AR26^2+AS26^2+AT26^2+AU26^2</f>
        <v>0</v>
      </c>
      <c r="AN26" s="423" t="s">
        <v>143</v>
      </c>
      <c r="AO26" s="335"/>
      <c r="AP26" s="336"/>
      <c r="AQ26" s="336"/>
      <c r="AR26" s="336"/>
      <c r="AS26" s="336"/>
      <c r="AT26" s="336"/>
      <c r="AU26" s="336"/>
      <c r="AV26" s="337" t="str">
        <f t="shared" ref="AV26:AV32" si="16">IF(AO26&gt;0,AW26*$AD$48+$AD$49,"")</f>
        <v/>
      </c>
      <c r="AW26" s="336" t="str">
        <f t="shared" ref="AW26:AW32" si="17">IF(AO26&gt;0,LOG(AO26),"")</f>
        <v/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 t="e">
        <f>(AD23*AD22/AD21)*SQRT((1-AD24)*(1/AD6+1/AD5)+(AD28-AD11+AD12)^2/(AD15+AD16))</f>
        <v>#DIV/0!</v>
      </c>
      <c r="AF27" s="339">
        <f t="shared" ref="AF27:AF32" si="18">COUNTIF(AP27:AU27,"&gt;0")</f>
        <v>0</v>
      </c>
      <c r="AG27" s="348">
        <f t="shared" si="10"/>
        <v>0</v>
      </c>
      <c r="AH27" s="348">
        <f t="shared" si="11"/>
        <v>0</v>
      </c>
      <c r="AI27" s="348" t="e">
        <f t="shared" si="12"/>
        <v>#DIV/0!</v>
      </c>
      <c r="AJ27" s="348">
        <f t="shared" si="13"/>
        <v>0</v>
      </c>
      <c r="AK27" s="348">
        <f t="shared" si="14"/>
        <v>0</v>
      </c>
      <c r="AL27" s="349">
        <f t="shared" si="15"/>
        <v>0</v>
      </c>
      <c r="AN27" s="125"/>
      <c r="AO27" s="335"/>
      <c r="AP27" s="336"/>
      <c r="AQ27" s="336"/>
      <c r="AR27" s="336"/>
      <c r="AS27" s="336"/>
      <c r="AT27" s="336"/>
      <c r="AU27" s="336"/>
      <c r="AV27" s="337" t="str">
        <f t="shared" si="16"/>
        <v/>
      </c>
      <c r="AW27" s="336" t="str">
        <f t="shared" si="17"/>
        <v/>
      </c>
    </row>
    <row r="28" spans="1:49" ht="12.75" customHeight="1" x14ac:dyDescent="0.25">
      <c r="A28" s="27"/>
      <c r="B28" s="27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 t="e">
        <f>$AD$11-$AD$12-(AD13-AD14)/AD21</f>
        <v>#DIV/0!</v>
      </c>
      <c r="AF28" s="339">
        <f t="shared" si="18"/>
        <v>0</v>
      </c>
      <c r="AG28" s="348">
        <f t="shared" si="10"/>
        <v>0</v>
      </c>
      <c r="AH28" s="348">
        <f t="shared" si="11"/>
        <v>0</v>
      </c>
      <c r="AI28" s="348" t="e">
        <f t="shared" si="12"/>
        <v>#DIV/0!</v>
      </c>
      <c r="AJ28" s="348">
        <f t="shared" si="13"/>
        <v>0</v>
      </c>
      <c r="AK28" s="348">
        <f t="shared" si="14"/>
        <v>0</v>
      </c>
      <c r="AL28" s="349">
        <f t="shared" si="15"/>
        <v>0</v>
      </c>
      <c r="AN28" s="125"/>
      <c r="AO28" s="335"/>
      <c r="AP28" s="336"/>
      <c r="AQ28" s="336"/>
      <c r="AR28" s="336"/>
      <c r="AS28" s="336"/>
      <c r="AT28" s="336"/>
      <c r="AU28" s="336"/>
      <c r="AV28" s="337" t="str">
        <f t="shared" si="16"/>
        <v/>
      </c>
      <c r="AW28" s="336" t="str">
        <f t="shared" si="17"/>
        <v/>
      </c>
    </row>
    <row r="29" spans="1:49" ht="12.75" customHeight="1" x14ac:dyDescent="0.25">
      <c r="A29" s="27"/>
      <c r="B29" s="27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 t="e">
        <f>$AD$11-$AD$12+($AD$28-$AD$11+$AD$12+$AD$27)/(1-$AD$24)</f>
        <v>#DIV/0!</v>
      </c>
      <c r="AF29" s="339">
        <f t="shared" si="18"/>
        <v>0</v>
      </c>
      <c r="AG29" s="348">
        <f t="shared" si="10"/>
        <v>0</v>
      </c>
      <c r="AH29" s="348">
        <f t="shared" si="11"/>
        <v>0</v>
      </c>
      <c r="AI29" s="348" t="e">
        <f t="shared" si="12"/>
        <v>#DIV/0!</v>
      </c>
      <c r="AJ29" s="348">
        <f t="shared" si="13"/>
        <v>0</v>
      </c>
      <c r="AK29" s="348">
        <f t="shared" si="14"/>
        <v>0</v>
      </c>
      <c r="AL29" s="349">
        <f t="shared" si="15"/>
        <v>0</v>
      </c>
      <c r="AN29" s="125"/>
      <c r="AO29" s="335"/>
      <c r="AP29" s="336"/>
      <c r="AQ29" s="336"/>
      <c r="AR29" s="336"/>
      <c r="AS29" s="336"/>
      <c r="AT29" s="336"/>
      <c r="AU29" s="336"/>
      <c r="AV29" s="337" t="str">
        <f t="shared" si="16"/>
        <v/>
      </c>
      <c r="AW29" s="336" t="str">
        <f t="shared" si="17"/>
        <v/>
      </c>
    </row>
    <row r="30" spans="1:49" ht="12.75" customHeight="1" x14ac:dyDescent="0.25">
      <c r="A30" s="27"/>
      <c r="B30" s="27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 t="e">
        <f>$AD$11-$AD$12+($AD$28-$AD$11+$AD$12-$AD$27)/(1-$AD$24)</f>
        <v>#DIV/0!</v>
      </c>
      <c r="AF30" s="339">
        <f t="shared" si="18"/>
        <v>0</v>
      </c>
      <c r="AG30" s="348">
        <f t="shared" si="10"/>
        <v>0</v>
      </c>
      <c r="AH30" s="348">
        <f t="shared" si="11"/>
        <v>0</v>
      </c>
      <c r="AI30" s="348" t="e">
        <f t="shared" si="12"/>
        <v>#DIV/0!</v>
      </c>
      <c r="AJ30" s="348">
        <f t="shared" si="13"/>
        <v>0</v>
      </c>
      <c r="AK30" s="348">
        <f t="shared" si="14"/>
        <v>0</v>
      </c>
      <c r="AL30" s="349">
        <f t="shared" si="15"/>
        <v>0</v>
      </c>
      <c r="AN30" s="125"/>
      <c r="AO30" s="335"/>
      <c r="AP30" s="336"/>
      <c r="AQ30" s="336"/>
      <c r="AR30" s="336"/>
      <c r="AS30" s="336"/>
      <c r="AT30" s="336"/>
      <c r="AU30" s="336"/>
      <c r="AV30" s="337" t="str">
        <f t="shared" si="16"/>
        <v/>
      </c>
      <c r="AW30" s="336" t="str">
        <f t="shared" si="17"/>
        <v/>
      </c>
    </row>
    <row r="31" spans="1:49" ht="12.75" customHeight="1" x14ac:dyDescent="0.25">
      <c r="A31" s="27"/>
      <c r="B31" s="27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0</v>
      </c>
      <c r="AG31" s="348">
        <f t="shared" si="10"/>
        <v>0</v>
      </c>
      <c r="AH31" s="348">
        <f t="shared" si="11"/>
        <v>0</v>
      </c>
      <c r="AI31" s="348" t="e">
        <f t="shared" si="12"/>
        <v>#DIV/0!</v>
      </c>
      <c r="AJ31" s="348">
        <f t="shared" si="13"/>
        <v>0</v>
      </c>
      <c r="AK31" s="348">
        <f t="shared" si="14"/>
        <v>0</v>
      </c>
      <c r="AL31" s="349">
        <f t="shared" si="15"/>
        <v>0</v>
      </c>
      <c r="AN31" s="125"/>
      <c r="AO31" s="335"/>
      <c r="AP31" s="336"/>
      <c r="AQ31" s="336"/>
      <c r="AR31" s="336"/>
      <c r="AS31" s="336"/>
      <c r="AT31" s="336"/>
      <c r="AU31" s="336"/>
      <c r="AV31" s="337" t="str">
        <f t="shared" si="16"/>
        <v/>
      </c>
      <c r="AW31" s="336" t="str">
        <f t="shared" si="17"/>
        <v/>
      </c>
    </row>
    <row r="32" spans="1:49" ht="12.75" customHeight="1" x14ac:dyDescent="0.25">
      <c r="A32" s="27"/>
      <c r="B32" s="27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 t="e">
        <f t="shared" si="12"/>
        <v>#DIV/0!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 t="e">
        <f>AD7^2/AD5+AD8^2/AD6-(AD7+AD8)^2/(AD5+AD6)</f>
        <v>#DIV/0!</v>
      </c>
      <c r="AE35" s="387">
        <v>1</v>
      </c>
      <c r="AF35" s="388" t="e">
        <f>AD35</f>
        <v>#DIV/0!</v>
      </c>
      <c r="AG35" s="389" t="e">
        <f>AF35/$AF$41</f>
        <v>#DIV/0!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 t="e">
        <f>(AD17+AD18)^2/(AD15+AD16)</f>
        <v>#DIV/0!</v>
      </c>
      <c r="AE36" s="387">
        <v>1</v>
      </c>
      <c r="AF36" s="388" t="e">
        <f>AD36</f>
        <v>#DIV/0!</v>
      </c>
      <c r="AG36" s="389" t="e">
        <f>AF36/$AF$41</f>
        <v>#DIV/0!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 t="e">
        <f>(AD17)^2/AD15+AD18^2/AD16-(AD17+AD18)^2/(AD15+AD16)</f>
        <v>#DIV/0!</v>
      </c>
      <c r="AE37" s="387">
        <v>1</v>
      </c>
      <c r="AF37" s="388" t="e">
        <f>AD37</f>
        <v>#DIV/0!</v>
      </c>
      <c r="AG37" s="391" t="e">
        <f>AF37/$AF$41</f>
        <v>#DIV/0!</v>
      </c>
      <c r="AH37" s="392" t="e">
        <f>FINV(0.05,AE37,AE$41)</f>
        <v>#NUM!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 t="e">
        <f>AD19-AD17^2/AD15</f>
        <v>#DIV/0!</v>
      </c>
      <c r="AE38" s="406">
        <f>AD3-2</f>
        <v>-2</v>
      </c>
      <c r="AF38" s="407" t="e">
        <f>AD38/AE38</f>
        <v>#DIV/0!</v>
      </c>
      <c r="AG38" s="408" t="e">
        <f>AF38/$AF$41</f>
        <v>#DIV/0!</v>
      </c>
      <c r="AH38" s="409" t="e">
        <f>FINV(0.05,AE38,AE$41)</f>
        <v>#NUM!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 t="e">
        <f>AD20-AD18^2/AD16</f>
        <v>#DIV/0!</v>
      </c>
      <c r="AE39" s="410">
        <f>AD4-2</f>
        <v>-2</v>
      </c>
      <c r="AF39" s="411" t="e">
        <f>AD39/AE39</f>
        <v>#DIV/0!</v>
      </c>
      <c r="AG39" s="412" t="e">
        <f>AF39/$AF$41</f>
        <v>#DIV/0!</v>
      </c>
      <c r="AH39" s="413" t="e">
        <f>FINV(0.05,AE39,AE$41)</f>
        <v>#NUM!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 t="e">
        <f>AD43-AD35-AD36-AD37-AD38-AD39</f>
        <v>#DIV/0!</v>
      </c>
      <c r="AE41" s="387">
        <f>AE43-AE35-AE36-AE37-AE38-AE39</f>
        <v>0</v>
      </c>
      <c r="AF41" s="388" t="e">
        <f>AD41/AE41</f>
        <v>#DIV/0!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 t="e">
        <f>SUM(AL17:AL32)-(AD7+AD8)^2/(AD5+AD6)</f>
        <v>#DIV/0!</v>
      </c>
      <c r="AE43" s="398">
        <f>(AD6+AD5)-1</f>
        <v>-1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 t="e">
        <f>AD17/AD15</f>
        <v>#DIV/0!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 t="e">
        <f>AD13-AD45*AD11</f>
        <v>#DIV/0!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 t="e">
        <f>AD18/AD16</f>
        <v>#DIV/0!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 t="e">
        <f>AD14-AD48*AD12</f>
        <v>#DIV/0!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 t="e">
        <f>10^AD28</f>
        <v>#DIV/0!</v>
      </c>
      <c r="AD53" s="419" t="e">
        <f>10^AD30</f>
        <v>#DIV/0!</v>
      </c>
      <c r="AE53" s="420" t="e">
        <f>10^AD29</f>
        <v>#DIV/0!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 t="e">
        <f>$AD$53*$N$19</f>
        <v>#DIV/0!</v>
      </c>
      <c r="AE54" s="179" t="e">
        <f>$AE$53*$N$19</f>
        <v>#DIV/0!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 t="e">
        <f>(AD53-AC53)/AC53</f>
        <v>#DIV/0!</v>
      </c>
      <c r="AE55" s="422" t="e">
        <f>(AE53-AC53)/AC53</f>
        <v>#DIV/0!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3:J23"/>
    <mergeCell ref="E22:F22"/>
  </mergeCells>
  <phoneticPr fontId="10" type="noConversion"/>
  <conditionalFormatting sqref="N25">
    <cfRule type="cellIs" dxfId="116" priority="10" stopIfTrue="1" operator="greaterThan">
      <formula>$O$22</formula>
    </cfRule>
    <cfRule type="cellIs" dxfId="115" priority="11" stopIfTrue="1" operator="notBetween">
      <formula>0.9</formula>
      <formula>1.1</formula>
    </cfRule>
    <cfRule type="cellIs" dxfId="114" priority="12" stopIfTrue="1" operator="between">
      <formula>0.9</formula>
      <formula>1.1</formula>
    </cfRule>
  </conditionalFormatting>
  <conditionalFormatting sqref="N22">
    <cfRule type="cellIs" dxfId="113" priority="5" stopIfTrue="1" operator="lessThanOrEqual">
      <formula>$O$22</formula>
    </cfRule>
    <cfRule type="cellIs" dxfId="112" priority="6" stopIfTrue="1" operator="greaterThan">
      <formula>$O$22</formula>
    </cfRule>
  </conditionalFormatting>
  <conditionalFormatting sqref="N23">
    <cfRule type="cellIs" dxfId="111" priority="3" stopIfTrue="1" operator="lessThanOrEqual">
      <formula>$O$23</formula>
    </cfRule>
    <cfRule type="cellIs" dxfId="110" priority="4" stopIfTrue="1" operator="greaterThan">
      <formula>$O$23</formula>
    </cfRule>
  </conditionalFormatting>
  <conditionalFormatting sqref="N24">
    <cfRule type="cellIs" dxfId="109" priority="1" stopIfTrue="1" operator="greaterThan">
      <formula>$O$24</formula>
    </cfRule>
    <cfRule type="cellIs" dxfId="108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6146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6146" r:id="rId4" name="RecalcSample1"/>
      </mc:Fallback>
    </mc:AlternateContent>
    <mc:AlternateContent xmlns:mc="http://schemas.openxmlformats.org/markup-compatibility/2006">
      <mc:Choice Requires="x14">
        <control shapeId="6145" r:id="rId6" name="DixonButtonSample">
          <controlPr defaultSize="0" autoLine="0" autoPict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6145" r:id="rId6" name="DixonButtonSamp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4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0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0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0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0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0</v>
      </c>
    </row>
    <row r="8" spans="1:49" ht="12.75" customHeight="1" x14ac:dyDescent="0.2">
      <c r="A8" s="27"/>
      <c r="B8" s="55"/>
      <c r="C8" s="49">
        <v>1</v>
      </c>
      <c r="D8" s="563"/>
      <c r="E8" s="265"/>
      <c r="F8" s="265"/>
      <c r="G8" s="265"/>
      <c r="H8" s="265"/>
      <c r="I8" s="265"/>
      <c r="J8" s="265"/>
      <c r="K8" s="148"/>
      <c r="L8" s="29">
        <v>1</v>
      </c>
      <c r="M8" s="563"/>
      <c r="N8" s="265"/>
      <c r="O8" s="265"/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0</v>
      </c>
    </row>
    <row r="9" spans="1:49" ht="12.75" customHeight="1" x14ac:dyDescent="0.2">
      <c r="A9" s="27"/>
      <c r="B9" s="55"/>
      <c r="C9" s="49">
        <v>2</v>
      </c>
      <c r="D9" s="563"/>
      <c r="E9" s="265"/>
      <c r="F9" s="265"/>
      <c r="G9" s="265"/>
      <c r="H9" s="265"/>
      <c r="I9" s="265"/>
      <c r="J9" s="265"/>
      <c r="K9" s="148"/>
      <c r="L9" s="29">
        <v>2</v>
      </c>
      <c r="M9" s="563"/>
      <c r="N9" s="265"/>
      <c r="O9" s="265"/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0</v>
      </c>
    </row>
    <row r="10" spans="1:49" ht="12.75" customHeight="1" x14ac:dyDescent="0.2">
      <c r="A10" s="27"/>
      <c r="B10" s="55"/>
      <c r="C10" s="49">
        <v>3</v>
      </c>
      <c r="D10" s="563"/>
      <c r="E10" s="265"/>
      <c r="F10" s="265"/>
      <c r="G10" s="265"/>
      <c r="H10" s="265"/>
      <c r="I10" s="265"/>
      <c r="J10" s="265"/>
      <c r="K10" s="148"/>
      <c r="L10" s="29">
        <v>3</v>
      </c>
      <c r="M10" s="563"/>
      <c r="N10" s="265"/>
      <c r="O10" s="265"/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0</v>
      </c>
    </row>
    <row r="11" spans="1:49" ht="12.75" customHeight="1" x14ac:dyDescent="0.2">
      <c r="A11" s="27"/>
      <c r="B11" s="55"/>
      <c r="C11" s="49">
        <v>4</v>
      </c>
      <c r="D11" s="563"/>
      <c r="E11" s="265"/>
      <c r="F11" s="265"/>
      <c r="G11" s="265"/>
      <c r="H11" s="265"/>
      <c r="I11" s="265"/>
      <c r="J11" s="265"/>
      <c r="K11" s="148"/>
      <c r="L11" s="29">
        <v>4</v>
      </c>
      <c r="M11" s="563"/>
      <c r="N11" s="265"/>
      <c r="O11" s="265"/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 t="e">
        <f>AD9/AD5</f>
        <v>#DIV/0!</v>
      </c>
    </row>
    <row r="12" spans="1:49" ht="12.75" customHeight="1" x14ac:dyDescent="0.2">
      <c r="A12" s="27"/>
      <c r="B12" s="55"/>
      <c r="C12" s="49">
        <v>5</v>
      </c>
      <c r="D12" s="563"/>
      <c r="E12" s="265"/>
      <c r="F12" s="265"/>
      <c r="G12" s="265"/>
      <c r="H12" s="265"/>
      <c r="I12" s="265"/>
      <c r="J12" s="265"/>
      <c r="K12" s="148"/>
      <c r="L12" s="29">
        <v>5</v>
      </c>
      <c r="M12" s="563"/>
      <c r="N12" s="265"/>
      <c r="O12" s="265"/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 t="e">
        <f>AD10/AD6</f>
        <v>#DIV/0!</v>
      </c>
    </row>
    <row r="13" spans="1:49" ht="12.75" customHeight="1" x14ac:dyDescent="0.2">
      <c r="A13" s="27"/>
      <c r="B13" s="55"/>
      <c r="C13" s="49">
        <v>6</v>
      </c>
      <c r="D13" s="563"/>
      <c r="E13" s="266"/>
      <c r="F13" s="266"/>
      <c r="G13" s="266"/>
      <c r="H13" s="266"/>
      <c r="I13" s="265"/>
      <c r="J13" s="265"/>
      <c r="K13" s="267"/>
      <c r="L13" s="29">
        <v>6</v>
      </c>
      <c r="M13" s="563"/>
      <c r="N13" s="266"/>
      <c r="O13" s="266"/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 t="e">
        <f>AD7/AD5</f>
        <v>#DIV/0!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 t="e">
        <f>AD8/AD6</f>
        <v>#DIV/0!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 t="e">
        <f>SUM(AI17:AI23)</f>
        <v>#DIV/0!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 t="e">
        <f>SUM(AI26:AI32)</f>
        <v>#DIV/0!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0</v>
      </c>
      <c r="AF17" s="353">
        <f>COUNTIF(AP17:AU17,"&gt;0")</f>
        <v>0</v>
      </c>
      <c r="AG17" s="354">
        <f>SUM(AP17:AU17)</f>
        <v>0</v>
      </c>
      <c r="AH17" s="354">
        <f t="shared" ref="AH17:AH23" si="0">AF17*AW17</f>
        <v>0</v>
      </c>
      <c r="AI17" s="354" t="e">
        <f t="shared" ref="AI17:AI23" si="1">AF17*(AW17-$AD$11)^2</f>
        <v>#DIV/0!</v>
      </c>
      <c r="AJ17" s="354">
        <f t="shared" ref="AJ17:AJ23" si="2">IF(AF17=0,0,+AF17*(AG17/AF17-$AD$13)^2)</f>
        <v>0</v>
      </c>
      <c r="AK17" s="354">
        <f t="shared" ref="AK17:AK23" si="3">IF(AF17=0,0,+AF17*(AG17/AF17-$AD$13)*(AW17-$AD$11))</f>
        <v>0</v>
      </c>
      <c r="AL17" s="355">
        <f>AP17^2+AQ17^2+AR17^2+AS17^2+AT17^2+AU17^2</f>
        <v>0</v>
      </c>
      <c r="AN17" s="13" t="s">
        <v>53</v>
      </c>
      <c r="AO17" s="331"/>
      <c r="AP17" s="331"/>
      <c r="AQ17" s="331"/>
      <c r="AR17" s="331"/>
      <c r="AS17" s="331"/>
      <c r="AT17" s="331"/>
      <c r="AU17" s="331"/>
      <c r="AV17" s="332" t="str">
        <f t="shared" ref="AV17:AV23" si="4">IF(AO17&gt;0,AW17*$AD$45+$AD$46,"")</f>
        <v/>
      </c>
      <c r="AW17" s="331" t="str">
        <f t="shared" ref="AW17:AW23" si="5">IF(AO17&gt;0,LOG(AO17),"")</f>
        <v/>
      </c>
    </row>
    <row r="18" spans="1:49" ht="12.75" customHeight="1" x14ac:dyDescent="0.2">
      <c r="A18" s="27"/>
      <c r="B18" s="55"/>
      <c r="C18" s="46"/>
      <c r="D18" s="187" t="s">
        <v>106</v>
      </c>
      <c r="E18" s="45"/>
      <c r="F18" s="73"/>
      <c r="G18" s="73"/>
      <c r="H18" s="73"/>
      <c r="I18" s="73"/>
      <c r="J18" s="44"/>
      <c r="K18" s="34"/>
      <c r="L18" s="273"/>
      <c r="M18" s="284" t="s">
        <v>128</v>
      </c>
      <c r="N18" s="274"/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0</v>
      </c>
      <c r="AF18" s="340">
        <f t="shared" ref="AF18:AF23" si="6">COUNTIF(AP18:AU18,"&gt;0")</f>
        <v>0</v>
      </c>
      <c r="AG18" s="343">
        <f t="shared" ref="AG18:AG23" si="7">SUM(AP18:AU18)</f>
        <v>0</v>
      </c>
      <c r="AH18" s="343">
        <f t="shared" si="0"/>
        <v>0</v>
      </c>
      <c r="AI18" s="343" t="e">
        <f t="shared" si="1"/>
        <v>#DIV/0!</v>
      </c>
      <c r="AJ18" s="343">
        <f t="shared" si="2"/>
        <v>0</v>
      </c>
      <c r="AK18" s="343">
        <f t="shared" si="3"/>
        <v>0</v>
      </c>
      <c r="AL18" s="344">
        <f t="shared" ref="AL18:AL23" si="8">AP18^2+AQ18^2+AR18^2+AS18^2+AT18^2+AU18^2</f>
        <v>0</v>
      </c>
      <c r="AN18" s="124"/>
      <c r="AO18" s="331"/>
      <c r="AP18" s="331"/>
      <c r="AQ18" s="331"/>
      <c r="AR18" s="331"/>
      <c r="AS18" s="331"/>
      <c r="AT18" s="331"/>
      <c r="AU18" s="331"/>
      <c r="AV18" s="332" t="str">
        <f t="shared" si="4"/>
        <v/>
      </c>
      <c r="AW18" s="331" t="str">
        <f t="shared" si="5"/>
        <v/>
      </c>
    </row>
    <row r="19" spans="1:49" ht="12.75" customHeight="1" x14ac:dyDescent="0.2">
      <c r="A19" s="27"/>
      <c r="B19" s="55"/>
      <c r="C19" s="172"/>
      <c r="D19" s="186" t="s">
        <v>107</v>
      </c>
      <c r="E19" s="490" t="e">
        <f>AC53*N19</f>
        <v>#DIV/0!</v>
      </c>
      <c r="F19" s="74">
        <f>O19</f>
        <v>0</v>
      </c>
      <c r="G19" s="74"/>
      <c r="H19" s="74"/>
      <c r="I19" s="74"/>
      <c r="J19" s="75"/>
      <c r="K19" s="34"/>
      <c r="L19" s="278"/>
      <c r="M19" s="285" t="s">
        <v>129</v>
      </c>
      <c r="N19" s="269"/>
      <c r="O19" s="269"/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0</v>
      </c>
      <c r="AF19" s="340">
        <f t="shared" si="6"/>
        <v>0</v>
      </c>
      <c r="AG19" s="343">
        <f t="shared" si="7"/>
        <v>0</v>
      </c>
      <c r="AH19" s="343">
        <f t="shared" si="0"/>
        <v>0</v>
      </c>
      <c r="AI19" s="343" t="e">
        <f t="shared" si="1"/>
        <v>#DIV/0!</v>
      </c>
      <c r="AJ19" s="343">
        <f t="shared" si="2"/>
        <v>0</v>
      </c>
      <c r="AK19" s="343">
        <f t="shared" si="3"/>
        <v>0</v>
      </c>
      <c r="AL19" s="344">
        <f t="shared" si="8"/>
        <v>0</v>
      </c>
      <c r="AN19" s="124"/>
      <c r="AO19" s="331"/>
      <c r="AP19" s="331"/>
      <c r="AQ19" s="331"/>
      <c r="AR19" s="331"/>
      <c r="AS19" s="331"/>
      <c r="AT19" s="331"/>
      <c r="AU19" s="331"/>
      <c r="AV19" s="332" t="str">
        <f t="shared" si="4"/>
        <v/>
      </c>
      <c r="AW19" s="331" t="str">
        <f t="shared" si="5"/>
        <v/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e">
        <f>"("&amp;TEXT(MIN(AD54:AE54),"0.#0")&amp;" - "&amp;TEXT(MAX(AD54:AE54),"0.#0) ")&amp;"= +/-"</f>
        <v>#VALUE!</v>
      </c>
      <c r="F20" s="491"/>
      <c r="G20" s="131" t="e">
        <f>ABS((AD54-AE54)/(2*E19))</f>
        <v>#DIV/0!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0</v>
      </c>
      <c r="AF20" s="340">
        <f t="shared" si="6"/>
        <v>0</v>
      </c>
      <c r="AG20" s="343">
        <f t="shared" si="7"/>
        <v>0</v>
      </c>
      <c r="AH20" s="343">
        <f t="shared" si="0"/>
        <v>0</v>
      </c>
      <c r="AI20" s="343" t="e">
        <f t="shared" si="1"/>
        <v>#DIV/0!</v>
      </c>
      <c r="AJ20" s="343">
        <f t="shared" si="2"/>
        <v>0</v>
      </c>
      <c r="AK20" s="343">
        <f t="shared" si="3"/>
        <v>0</v>
      </c>
      <c r="AL20" s="344">
        <f t="shared" si="8"/>
        <v>0</v>
      </c>
      <c r="AN20" s="124"/>
      <c r="AO20" s="331"/>
      <c r="AP20" s="331"/>
      <c r="AQ20" s="331"/>
      <c r="AR20" s="331"/>
      <c r="AS20" s="331"/>
      <c r="AT20" s="331"/>
      <c r="AU20" s="331"/>
      <c r="AV20" s="332" t="str">
        <f t="shared" si="4"/>
        <v/>
      </c>
      <c r="AW20" s="331" t="str">
        <f t="shared" si="5"/>
        <v/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 t="e">
        <f>(AD17+AD18)/(AD15+AD16)</f>
        <v>#DIV/0!</v>
      </c>
      <c r="AF21" s="340">
        <f t="shared" si="6"/>
        <v>0</v>
      </c>
      <c r="AG21" s="343">
        <f t="shared" si="7"/>
        <v>0</v>
      </c>
      <c r="AH21" s="343">
        <f t="shared" si="0"/>
        <v>0</v>
      </c>
      <c r="AI21" s="343" t="e">
        <f t="shared" si="1"/>
        <v>#DIV/0!</v>
      </c>
      <c r="AJ21" s="343">
        <f t="shared" si="2"/>
        <v>0</v>
      </c>
      <c r="AK21" s="343">
        <f t="shared" si="3"/>
        <v>0</v>
      </c>
      <c r="AL21" s="344">
        <f t="shared" si="8"/>
        <v>0</v>
      </c>
      <c r="AN21" s="124"/>
      <c r="AO21" s="331"/>
      <c r="AP21" s="331"/>
      <c r="AQ21" s="331"/>
      <c r="AR21" s="331"/>
      <c r="AS21" s="331"/>
      <c r="AT21" s="331"/>
      <c r="AU21" s="331"/>
      <c r="AV21" s="332" t="str">
        <f t="shared" si="4"/>
        <v/>
      </c>
      <c r="AW21" s="331" t="str">
        <f t="shared" si="5"/>
        <v/>
      </c>
    </row>
    <row r="22" spans="1:49" ht="12.75" customHeight="1" x14ac:dyDescent="0.2">
      <c r="A22" s="27"/>
      <c r="B22" s="55"/>
      <c r="C22" s="43"/>
      <c r="D22" s="189" t="s">
        <v>105</v>
      </c>
      <c r="E22" s="589"/>
      <c r="F22" s="589"/>
      <c r="G22" s="118"/>
      <c r="H22" s="118"/>
      <c r="I22" s="118"/>
      <c r="J22" s="119"/>
      <c r="K22" s="34"/>
      <c r="L22" s="31" t="s">
        <v>46</v>
      </c>
      <c r="M22" s="425"/>
      <c r="N22" s="427" t="e">
        <f>AG37</f>
        <v>#DIV/0!</v>
      </c>
      <c r="O22" s="136" t="e">
        <f t="shared" ref="N22:O24" si="9">AH37</f>
        <v>#NUM!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 t="e">
        <f>TINV(0.05,AE41)</f>
        <v>#NUM!</v>
      </c>
      <c r="AF22" s="340">
        <f t="shared" si="6"/>
        <v>0</v>
      </c>
      <c r="AG22" s="343">
        <f t="shared" si="7"/>
        <v>0</v>
      </c>
      <c r="AH22" s="343">
        <f t="shared" si="0"/>
        <v>0</v>
      </c>
      <c r="AI22" s="343" t="e">
        <f t="shared" si="1"/>
        <v>#DIV/0!</v>
      </c>
      <c r="AJ22" s="343">
        <f t="shared" si="2"/>
        <v>0</v>
      </c>
      <c r="AK22" s="343">
        <f t="shared" si="3"/>
        <v>0</v>
      </c>
      <c r="AL22" s="344">
        <f t="shared" si="8"/>
        <v>0</v>
      </c>
      <c r="AN22" s="124"/>
      <c r="AO22" s="331"/>
      <c r="AP22" s="331"/>
      <c r="AQ22" s="331"/>
      <c r="AR22" s="331"/>
      <c r="AS22" s="331"/>
      <c r="AT22" s="331"/>
      <c r="AU22" s="331"/>
      <c r="AV22" s="332" t="str">
        <f t="shared" si="4"/>
        <v/>
      </c>
      <c r="AW22" s="331" t="str">
        <f t="shared" si="5"/>
        <v/>
      </c>
    </row>
    <row r="23" spans="1:49" ht="12.75" customHeight="1" x14ac:dyDescent="0.2">
      <c r="A23" s="27"/>
      <c r="B23" s="55"/>
      <c r="C23" s="77"/>
      <c r="D23" s="190" t="s">
        <v>104</v>
      </c>
      <c r="E23" s="586"/>
      <c r="F23" s="587"/>
      <c r="G23" s="587"/>
      <c r="H23" s="587"/>
      <c r="I23" s="587"/>
      <c r="J23" s="588"/>
      <c r="K23" s="34"/>
      <c r="L23" s="116" t="s">
        <v>71</v>
      </c>
      <c r="M23" s="89"/>
      <c r="N23" s="427" t="e">
        <f>AG38</f>
        <v>#DIV/0!</v>
      </c>
      <c r="O23" s="136" t="e">
        <f t="shared" si="9"/>
        <v>#NUM!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 t="e">
        <f>SQRT(AF41)</f>
        <v>#DIV/0!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 t="e">
        <f t="shared" si="1"/>
        <v>#DIV/0!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/>
      <c r="E24" s="181"/>
      <c r="F24" s="51"/>
      <c r="G24" s="183"/>
      <c r="H24" s="181"/>
      <c r="I24" s="120"/>
      <c r="J24" s="121"/>
      <c r="K24" s="34"/>
      <c r="L24" s="117" t="s">
        <v>72</v>
      </c>
      <c r="M24" s="426"/>
      <c r="N24" s="427" t="e">
        <f t="shared" si="9"/>
        <v>#DIV/0!</v>
      </c>
      <c r="O24" s="136" t="e">
        <f t="shared" si="9"/>
        <v>#NUM!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 t="e">
        <f>AD22^2*AD23^2/(AD21^2*(AD15+AD16))</f>
        <v>#NUM!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/>
      <c r="E25" s="182"/>
      <c r="F25" s="185"/>
      <c r="G25" s="184"/>
      <c r="H25" s="182"/>
      <c r="I25" s="122"/>
      <c r="J25" s="123"/>
      <c r="K25" s="34"/>
      <c r="L25" s="429" t="s">
        <v>159</v>
      </c>
      <c r="M25" s="430"/>
      <c r="N25" s="428" t="e">
        <f>AD48/AD45</f>
        <v>#DIV/0!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 t="e">
        <f>(AD23^2/AD21^2)*((1/AD5+1/AD6)+(AD28-AD11+AD12)^2/(AD15+AD16))</f>
        <v>#DIV/0!</v>
      </c>
      <c r="AF26" s="359">
        <f>COUNTIF(AP26:AU26,"&gt;0")</f>
        <v>0</v>
      </c>
      <c r="AG26" s="360">
        <f t="shared" ref="AG26:AG32" si="10">SUM(AP26:AU26)</f>
        <v>0</v>
      </c>
      <c r="AH26" s="360">
        <f t="shared" ref="AH26:AH32" si="11">AF26*AW26</f>
        <v>0</v>
      </c>
      <c r="AI26" s="360" t="e">
        <f t="shared" ref="AI26:AI32" si="12">AF26*(AW26-$AD$12)^2</f>
        <v>#DIV/0!</v>
      </c>
      <c r="AJ26" s="360">
        <f t="shared" ref="AJ26:AJ32" si="13">IF(AF26=0,0,+AF26*(AG26/AF26-$AD$14)^2)</f>
        <v>0</v>
      </c>
      <c r="AK26" s="360">
        <f t="shared" ref="AK26:AK32" si="14">IF(AF26=0,0,+AF26*(AG26/AF26-$AD$14)*(AW26-$AD$12))</f>
        <v>0</v>
      </c>
      <c r="AL26" s="361">
        <f t="shared" ref="AL26:AL32" si="15">AP26^2+AQ26^2+AR26^2+AS26^2+AT26^2+AU26^2</f>
        <v>0</v>
      </c>
      <c r="AN26" s="423" t="s">
        <v>143</v>
      </c>
      <c r="AO26" s="335"/>
      <c r="AP26" s="336"/>
      <c r="AQ26" s="336"/>
      <c r="AR26" s="336"/>
      <c r="AS26" s="336"/>
      <c r="AT26" s="336"/>
      <c r="AU26" s="336"/>
      <c r="AV26" s="337" t="str">
        <f t="shared" ref="AV26:AV32" si="16">IF(AO26&gt;0,AW26*$AD$48+$AD$49,"")</f>
        <v/>
      </c>
      <c r="AW26" s="336" t="str">
        <f t="shared" ref="AW26:AW32" si="17">IF(AO26&gt;0,LOG(AO26),"")</f>
        <v/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 t="e">
        <f>(AD23*AD22/AD21)*SQRT((1-AD24)*(1/AD6+1/AD5)+(AD28-AD11+AD12)^2/(AD15+AD16))</f>
        <v>#DIV/0!</v>
      </c>
      <c r="AF27" s="339">
        <f t="shared" ref="AF27:AF32" si="18">COUNTIF(AP27:AU27,"&gt;0")</f>
        <v>0</v>
      </c>
      <c r="AG27" s="348">
        <f t="shared" si="10"/>
        <v>0</v>
      </c>
      <c r="AH27" s="348">
        <f t="shared" si="11"/>
        <v>0</v>
      </c>
      <c r="AI27" s="348" t="e">
        <f t="shared" si="12"/>
        <v>#DIV/0!</v>
      </c>
      <c r="AJ27" s="348">
        <f t="shared" si="13"/>
        <v>0</v>
      </c>
      <c r="AK27" s="348">
        <f t="shared" si="14"/>
        <v>0</v>
      </c>
      <c r="AL27" s="349">
        <f t="shared" si="15"/>
        <v>0</v>
      </c>
      <c r="AN27" s="125"/>
      <c r="AO27" s="335"/>
      <c r="AP27" s="336"/>
      <c r="AQ27" s="336"/>
      <c r="AR27" s="336"/>
      <c r="AS27" s="336"/>
      <c r="AT27" s="336"/>
      <c r="AU27" s="336"/>
      <c r="AV27" s="337" t="str">
        <f t="shared" si="16"/>
        <v/>
      </c>
      <c r="AW27" s="336" t="str">
        <f t="shared" si="17"/>
        <v/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 t="e">
        <f>$AD$11-$AD$12-(AD13-AD14)/AD21</f>
        <v>#DIV/0!</v>
      </c>
      <c r="AF28" s="339">
        <f t="shared" si="18"/>
        <v>0</v>
      </c>
      <c r="AG28" s="348">
        <f t="shared" si="10"/>
        <v>0</v>
      </c>
      <c r="AH28" s="348">
        <f t="shared" si="11"/>
        <v>0</v>
      </c>
      <c r="AI28" s="348" t="e">
        <f t="shared" si="12"/>
        <v>#DIV/0!</v>
      </c>
      <c r="AJ28" s="348">
        <f t="shared" si="13"/>
        <v>0</v>
      </c>
      <c r="AK28" s="348">
        <f t="shared" si="14"/>
        <v>0</v>
      </c>
      <c r="AL28" s="349">
        <f t="shared" si="15"/>
        <v>0</v>
      </c>
      <c r="AN28" s="125"/>
      <c r="AO28" s="335"/>
      <c r="AP28" s="336"/>
      <c r="AQ28" s="336"/>
      <c r="AR28" s="336"/>
      <c r="AS28" s="336"/>
      <c r="AT28" s="336"/>
      <c r="AU28" s="336"/>
      <c r="AV28" s="337" t="str">
        <f t="shared" si="16"/>
        <v/>
      </c>
      <c r="AW28" s="336" t="str">
        <f t="shared" si="17"/>
        <v/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 t="e">
        <f>$AD$11-$AD$12+($AD$28-$AD$11+$AD$12+$AD$27)/(1-$AD$24)</f>
        <v>#DIV/0!</v>
      </c>
      <c r="AF29" s="339">
        <f t="shared" si="18"/>
        <v>0</v>
      </c>
      <c r="AG29" s="348">
        <f t="shared" si="10"/>
        <v>0</v>
      </c>
      <c r="AH29" s="348">
        <f t="shared" si="11"/>
        <v>0</v>
      </c>
      <c r="AI29" s="348" t="e">
        <f t="shared" si="12"/>
        <v>#DIV/0!</v>
      </c>
      <c r="AJ29" s="348">
        <f t="shared" si="13"/>
        <v>0</v>
      </c>
      <c r="AK29" s="348">
        <f t="shared" si="14"/>
        <v>0</v>
      </c>
      <c r="AL29" s="349">
        <f t="shared" si="15"/>
        <v>0</v>
      </c>
      <c r="AN29" s="125"/>
      <c r="AO29" s="335"/>
      <c r="AP29" s="336"/>
      <c r="AQ29" s="336"/>
      <c r="AR29" s="336"/>
      <c r="AS29" s="336"/>
      <c r="AT29" s="336"/>
      <c r="AU29" s="336"/>
      <c r="AV29" s="337" t="str">
        <f t="shared" si="16"/>
        <v/>
      </c>
      <c r="AW29" s="336" t="str">
        <f t="shared" si="17"/>
        <v/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 t="e">
        <f>$AD$11-$AD$12+($AD$28-$AD$11+$AD$12-$AD$27)/(1-$AD$24)</f>
        <v>#DIV/0!</v>
      </c>
      <c r="AF30" s="339">
        <f t="shared" si="18"/>
        <v>0</v>
      </c>
      <c r="AG30" s="348">
        <f t="shared" si="10"/>
        <v>0</v>
      </c>
      <c r="AH30" s="348">
        <f t="shared" si="11"/>
        <v>0</v>
      </c>
      <c r="AI30" s="348" t="e">
        <f t="shared" si="12"/>
        <v>#DIV/0!</v>
      </c>
      <c r="AJ30" s="348">
        <f t="shared" si="13"/>
        <v>0</v>
      </c>
      <c r="AK30" s="348">
        <f t="shared" si="14"/>
        <v>0</v>
      </c>
      <c r="AL30" s="349">
        <f t="shared" si="15"/>
        <v>0</v>
      </c>
      <c r="AN30" s="125"/>
      <c r="AO30" s="335"/>
      <c r="AP30" s="336"/>
      <c r="AQ30" s="336"/>
      <c r="AR30" s="336"/>
      <c r="AS30" s="336"/>
      <c r="AT30" s="336"/>
      <c r="AU30" s="336"/>
      <c r="AV30" s="337" t="str">
        <f t="shared" si="16"/>
        <v/>
      </c>
      <c r="AW30" s="336" t="str">
        <f t="shared" si="17"/>
        <v/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0</v>
      </c>
      <c r="AG31" s="348">
        <f t="shared" si="10"/>
        <v>0</v>
      </c>
      <c r="AH31" s="348">
        <f t="shared" si="11"/>
        <v>0</v>
      </c>
      <c r="AI31" s="348" t="e">
        <f t="shared" si="12"/>
        <v>#DIV/0!</v>
      </c>
      <c r="AJ31" s="348">
        <f t="shared" si="13"/>
        <v>0</v>
      </c>
      <c r="AK31" s="348">
        <f t="shared" si="14"/>
        <v>0</v>
      </c>
      <c r="AL31" s="349">
        <f t="shared" si="15"/>
        <v>0</v>
      </c>
      <c r="AN31" s="125"/>
      <c r="AO31" s="335"/>
      <c r="AP31" s="336"/>
      <c r="AQ31" s="336"/>
      <c r="AR31" s="336"/>
      <c r="AS31" s="336"/>
      <c r="AT31" s="336"/>
      <c r="AU31" s="336"/>
      <c r="AV31" s="337" t="str">
        <f t="shared" si="16"/>
        <v/>
      </c>
      <c r="AW31" s="336" t="str">
        <f t="shared" si="17"/>
        <v/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 t="e">
        <f t="shared" si="12"/>
        <v>#DIV/0!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 t="e">
        <f>AD7^2/AD5+AD8^2/AD6-(AD7+AD8)^2/(AD5+AD6)</f>
        <v>#DIV/0!</v>
      </c>
      <c r="AE35" s="387">
        <v>1</v>
      </c>
      <c r="AF35" s="388" t="e">
        <f>AD35</f>
        <v>#DIV/0!</v>
      </c>
      <c r="AG35" s="389" t="e">
        <f>AF35/$AF$41</f>
        <v>#DIV/0!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 t="e">
        <f>(AD17+AD18)^2/(AD15+AD16)</f>
        <v>#DIV/0!</v>
      </c>
      <c r="AE36" s="387">
        <v>1</v>
      </c>
      <c r="AF36" s="388" t="e">
        <f>AD36</f>
        <v>#DIV/0!</v>
      </c>
      <c r="AG36" s="389" t="e">
        <f>AF36/$AF$41</f>
        <v>#DIV/0!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 t="e">
        <f>(AD17)^2/AD15+AD18^2/AD16-(AD17+AD18)^2/(AD15+AD16)</f>
        <v>#DIV/0!</v>
      </c>
      <c r="AE37" s="387">
        <v>1</v>
      </c>
      <c r="AF37" s="388" t="e">
        <f>AD37</f>
        <v>#DIV/0!</v>
      </c>
      <c r="AG37" s="391" t="e">
        <f>AF37/$AF$41</f>
        <v>#DIV/0!</v>
      </c>
      <c r="AH37" s="392" t="e">
        <f>FINV(0.05,AE37,AE$41)</f>
        <v>#NUM!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 t="e">
        <f>AD19-AD17^2/AD15</f>
        <v>#DIV/0!</v>
      </c>
      <c r="AE38" s="406">
        <f>AD3-2</f>
        <v>-2</v>
      </c>
      <c r="AF38" s="407" t="e">
        <f>AD38/AE38</f>
        <v>#DIV/0!</v>
      </c>
      <c r="AG38" s="408" t="e">
        <f>AF38/$AF$41</f>
        <v>#DIV/0!</v>
      </c>
      <c r="AH38" s="409" t="e">
        <f>FINV(0.05,AE38,AE$41)</f>
        <v>#NUM!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 t="e">
        <f>AD20-AD18^2/AD16</f>
        <v>#DIV/0!</v>
      </c>
      <c r="AE39" s="410">
        <f>AD4-2</f>
        <v>-2</v>
      </c>
      <c r="AF39" s="411" t="e">
        <f>AD39/AE39</f>
        <v>#DIV/0!</v>
      </c>
      <c r="AG39" s="412" t="e">
        <f>AF39/$AF$41</f>
        <v>#DIV/0!</v>
      </c>
      <c r="AH39" s="413" t="e">
        <f>FINV(0.05,AE39,AE$41)</f>
        <v>#NUM!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 t="e">
        <f>AD43-AD35-AD36-AD37-AD38-AD39</f>
        <v>#DIV/0!</v>
      </c>
      <c r="AE41" s="387">
        <f>AE43-AE35-AE36-AE37-AE38-AE39</f>
        <v>0</v>
      </c>
      <c r="AF41" s="388" t="e">
        <f>AD41/AE41</f>
        <v>#DIV/0!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 t="e">
        <f>SUM(AL17:AL32)-(AD7+AD8)^2/(AD5+AD6)</f>
        <v>#DIV/0!</v>
      </c>
      <c r="AE43" s="398">
        <f>(AD6+AD5)-1</f>
        <v>-1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 t="e">
        <f>AD17/AD15</f>
        <v>#DIV/0!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 t="e">
        <f>AD13-AD45*AD11</f>
        <v>#DIV/0!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 t="e">
        <f>AD18/AD16</f>
        <v>#DIV/0!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 t="e">
        <f>AD14-AD48*AD12</f>
        <v>#DIV/0!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 t="e">
        <f>10^AD28</f>
        <v>#DIV/0!</v>
      </c>
      <c r="AD53" s="419" t="e">
        <f>10^AD30</f>
        <v>#DIV/0!</v>
      </c>
      <c r="AE53" s="420" t="e">
        <f>10^AD29</f>
        <v>#DIV/0!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 t="e">
        <f>$AD$53*$N$19</f>
        <v>#DIV/0!</v>
      </c>
      <c r="AE54" s="179" t="e">
        <f>$AE$53*$N$19</f>
        <v>#DIV/0!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 t="e">
        <f>(AD53-AC53)/AC53</f>
        <v>#DIV/0!</v>
      </c>
      <c r="AE55" s="422" t="e">
        <f>(AE53-AC53)/AC53</f>
        <v>#DIV/0!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107" priority="7" stopIfTrue="1" operator="greaterThan">
      <formula>$O$22</formula>
    </cfRule>
    <cfRule type="cellIs" dxfId="106" priority="8" stopIfTrue="1" operator="notBetween">
      <formula>0.9</formula>
      <formula>1.1</formula>
    </cfRule>
    <cfRule type="cellIs" dxfId="105" priority="9" stopIfTrue="1" operator="between">
      <formula>0.9</formula>
      <formula>1.1</formula>
    </cfRule>
  </conditionalFormatting>
  <conditionalFormatting sqref="N22">
    <cfRule type="cellIs" dxfId="104" priority="5" stopIfTrue="1" operator="lessThanOrEqual">
      <formula>$O$22</formula>
    </cfRule>
    <cfRule type="cellIs" dxfId="103" priority="6" stopIfTrue="1" operator="greaterThan">
      <formula>$O$22</formula>
    </cfRule>
  </conditionalFormatting>
  <conditionalFormatting sqref="N23">
    <cfRule type="cellIs" dxfId="102" priority="3" stopIfTrue="1" operator="lessThanOrEqual">
      <formula>$O$23</formula>
    </cfRule>
    <cfRule type="cellIs" dxfId="101" priority="4" stopIfTrue="1" operator="greaterThan">
      <formula>$O$23</formula>
    </cfRule>
  </conditionalFormatting>
  <conditionalFormatting sqref="N24">
    <cfRule type="cellIs" dxfId="100" priority="1" stopIfTrue="1" operator="greaterThan">
      <formula>$O$24</formula>
    </cfRule>
    <cfRule type="cellIs" dxfId="99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12290" r:id="rId4" name="RecalcSample1"/>
      </mc:Fallback>
    </mc:AlternateContent>
    <mc:AlternateContent xmlns:mc="http://schemas.openxmlformats.org/markup-compatibility/2006">
      <mc:Choice Requires="x14">
        <control shapeId="12289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12289" r:id="rId6" name="DixonButtonSampl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7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 t="s">
        <v>145</v>
      </c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0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0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0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0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0</v>
      </c>
    </row>
    <row r="8" spans="1:49" ht="12.75" customHeight="1" x14ac:dyDescent="0.2">
      <c r="A8" s="27"/>
      <c r="B8" s="55"/>
      <c r="C8" s="49">
        <v>1</v>
      </c>
      <c r="D8" s="563"/>
      <c r="E8" s="265"/>
      <c r="F8" s="265"/>
      <c r="G8" s="265"/>
      <c r="H8" s="265"/>
      <c r="I8" s="265"/>
      <c r="J8" s="265"/>
      <c r="K8" s="148"/>
      <c r="L8" s="29">
        <v>1</v>
      </c>
      <c r="M8" s="563"/>
      <c r="N8" s="265"/>
      <c r="O8" s="265"/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0</v>
      </c>
    </row>
    <row r="9" spans="1:49" ht="12.75" customHeight="1" x14ac:dyDescent="0.2">
      <c r="A9" s="27"/>
      <c r="B9" s="55"/>
      <c r="C9" s="49">
        <v>2</v>
      </c>
      <c r="D9" s="563"/>
      <c r="E9" s="265"/>
      <c r="F9" s="265"/>
      <c r="G9" s="265"/>
      <c r="H9" s="265"/>
      <c r="I9" s="265"/>
      <c r="J9" s="265"/>
      <c r="K9" s="148"/>
      <c r="L9" s="29">
        <v>2</v>
      </c>
      <c r="M9" s="563"/>
      <c r="N9" s="265"/>
      <c r="O9" s="265"/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0</v>
      </c>
    </row>
    <row r="10" spans="1:49" ht="12.75" customHeight="1" x14ac:dyDescent="0.2">
      <c r="A10" s="27"/>
      <c r="B10" s="55"/>
      <c r="C10" s="49">
        <v>3</v>
      </c>
      <c r="D10" s="563"/>
      <c r="E10" s="265"/>
      <c r="F10" s="265"/>
      <c r="G10" s="265"/>
      <c r="H10" s="265"/>
      <c r="I10" s="265"/>
      <c r="J10" s="265"/>
      <c r="K10" s="148"/>
      <c r="L10" s="29">
        <v>3</v>
      </c>
      <c r="M10" s="563"/>
      <c r="N10" s="265"/>
      <c r="O10" s="265"/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0</v>
      </c>
    </row>
    <row r="11" spans="1:49" ht="12.75" customHeight="1" x14ac:dyDescent="0.2">
      <c r="A11" s="27"/>
      <c r="B11" s="55"/>
      <c r="C11" s="49">
        <v>4</v>
      </c>
      <c r="D11" s="563"/>
      <c r="E11" s="265"/>
      <c r="F11" s="265"/>
      <c r="G11" s="265"/>
      <c r="H11" s="265"/>
      <c r="I11" s="265"/>
      <c r="J11" s="265"/>
      <c r="K11" s="148"/>
      <c r="L11" s="29">
        <v>4</v>
      </c>
      <c r="M11" s="563"/>
      <c r="N11" s="265"/>
      <c r="O11" s="265"/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 t="e">
        <f>AD9/AD5</f>
        <v>#DIV/0!</v>
      </c>
    </row>
    <row r="12" spans="1:49" ht="12.75" customHeight="1" x14ac:dyDescent="0.2">
      <c r="A12" s="27"/>
      <c r="B12" s="55"/>
      <c r="C12" s="49">
        <v>5</v>
      </c>
      <c r="D12" s="563"/>
      <c r="E12" s="265"/>
      <c r="F12" s="265"/>
      <c r="G12" s="265"/>
      <c r="H12" s="265"/>
      <c r="I12" s="265"/>
      <c r="J12" s="265"/>
      <c r="K12" s="148"/>
      <c r="L12" s="29">
        <v>5</v>
      </c>
      <c r="M12" s="563"/>
      <c r="N12" s="265"/>
      <c r="O12" s="265"/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 t="e">
        <f>AD10/AD6</f>
        <v>#DIV/0!</v>
      </c>
    </row>
    <row r="13" spans="1:49" ht="12.75" customHeight="1" x14ac:dyDescent="0.2">
      <c r="A13" s="27"/>
      <c r="B13" s="55"/>
      <c r="C13" s="49">
        <v>6</v>
      </c>
      <c r="D13" s="563"/>
      <c r="E13" s="266"/>
      <c r="F13" s="266"/>
      <c r="G13" s="266"/>
      <c r="H13" s="266"/>
      <c r="I13" s="265"/>
      <c r="J13" s="265"/>
      <c r="K13" s="267"/>
      <c r="L13" s="29">
        <v>6</v>
      </c>
      <c r="M13" s="563"/>
      <c r="N13" s="266"/>
      <c r="O13" s="266"/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 t="e">
        <f>AD7/AD5</f>
        <v>#DIV/0!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 t="e">
        <f>AD8/AD6</f>
        <v>#DIV/0!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 t="e">
        <f>SUM(AI17:AI23)</f>
        <v>#DIV/0!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 t="e">
        <f>SUM(AI26:AI32)</f>
        <v>#DIV/0!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0</v>
      </c>
      <c r="AF17" s="353">
        <f>COUNTIF(AP17:AU17,"&gt;0")</f>
        <v>0</v>
      </c>
      <c r="AG17" s="354">
        <f>SUM(AP17:AU17)</f>
        <v>0</v>
      </c>
      <c r="AH17" s="354">
        <f t="shared" ref="AH17:AH23" si="0">AF17*AW17</f>
        <v>0</v>
      </c>
      <c r="AI17" s="354" t="e">
        <f t="shared" ref="AI17:AI23" si="1">AF17*(AW17-$AD$11)^2</f>
        <v>#DIV/0!</v>
      </c>
      <c r="AJ17" s="354">
        <f t="shared" ref="AJ17:AJ23" si="2">IF(AF17=0,0,+AF17*(AG17/AF17-$AD$13)^2)</f>
        <v>0</v>
      </c>
      <c r="AK17" s="354">
        <f t="shared" ref="AK17:AK23" si="3">IF(AF17=0,0,+AF17*(AG17/AF17-$AD$13)*(AW17-$AD$11))</f>
        <v>0</v>
      </c>
      <c r="AL17" s="355">
        <f>AP17^2+AQ17^2+AR17^2+AS17^2+AT17^2+AU17^2</f>
        <v>0</v>
      </c>
      <c r="AN17" s="13" t="s">
        <v>53</v>
      </c>
      <c r="AO17" s="331"/>
      <c r="AP17" s="331"/>
      <c r="AQ17" s="331"/>
      <c r="AR17" s="331"/>
      <c r="AS17" s="331"/>
      <c r="AT17" s="331"/>
      <c r="AU17" s="331"/>
      <c r="AV17" s="332" t="str">
        <f t="shared" ref="AV17:AV23" si="4">IF(AO17&gt;0,AW17*$AD$45+$AD$46,"")</f>
        <v/>
      </c>
      <c r="AW17" s="331" t="str">
        <f t="shared" ref="AW17:AW23" si="5">IF(AO17&gt;0,LOG(AO17),"")</f>
        <v/>
      </c>
    </row>
    <row r="18" spans="1:49" ht="12.75" customHeight="1" x14ac:dyDescent="0.2">
      <c r="A18" s="27"/>
      <c r="B18" s="55"/>
      <c r="C18" s="46"/>
      <c r="D18" s="187" t="s">
        <v>106</v>
      </c>
      <c r="E18" s="45"/>
      <c r="F18" s="73"/>
      <c r="G18" s="73"/>
      <c r="H18" s="73"/>
      <c r="I18" s="73"/>
      <c r="J18" s="44"/>
      <c r="K18" s="34"/>
      <c r="L18" s="273"/>
      <c r="M18" s="284" t="s">
        <v>128</v>
      </c>
      <c r="N18" s="274"/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0</v>
      </c>
      <c r="AF18" s="340">
        <f t="shared" ref="AF18:AF23" si="6">COUNTIF(AP18:AU18,"&gt;0")</f>
        <v>0</v>
      </c>
      <c r="AG18" s="343">
        <f t="shared" ref="AG18:AG23" si="7">SUM(AP18:AU18)</f>
        <v>0</v>
      </c>
      <c r="AH18" s="343">
        <f t="shared" si="0"/>
        <v>0</v>
      </c>
      <c r="AI18" s="343" t="e">
        <f t="shared" si="1"/>
        <v>#DIV/0!</v>
      </c>
      <c r="AJ18" s="343">
        <f t="shared" si="2"/>
        <v>0</v>
      </c>
      <c r="AK18" s="343">
        <f t="shared" si="3"/>
        <v>0</v>
      </c>
      <c r="AL18" s="344">
        <f t="shared" ref="AL18:AL23" si="8">AP18^2+AQ18^2+AR18^2+AS18^2+AT18^2+AU18^2</f>
        <v>0</v>
      </c>
      <c r="AN18" s="124"/>
      <c r="AO18" s="331"/>
      <c r="AP18" s="331"/>
      <c r="AQ18" s="331"/>
      <c r="AR18" s="331"/>
      <c r="AS18" s="331"/>
      <c r="AT18" s="331"/>
      <c r="AU18" s="331"/>
      <c r="AV18" s="332" t="str">
        <f t="shared" si="4"/>
        <v/>
      </c>
      <c r="AW18" s="331" t="str">
        <f t="shared" si="5"/>
        <v/>
      </c>
    </row>
    <row r="19" spans="1:49" ht="12.75" customHeight="1" x14ac:dyDescent="0.2">
      <c r="A19" s="27"/>
      <c r="B19" s="55"/>
      <c r="C19" s="172"/>
      <c r="D19" s="186" t="s">
        <v>107</v>
      </c>
      <c r="E19" s="490" t="e">
        <f>AC53*N19</f>
        <v>#DIV/0!</v>
      </c>
      <c r="F19" s="74">
        <f>O19</f>
        <v>0</v>
      </c>
      <c r="G19" s="74"/>
      <c r="H19" s="74"/>
      <c r="I19" s="74"/>
      <c r="J19" s="75"/>
      <c r="K19" s="34"/>
      <c r="L19" s="278"/>
      <c r="M19" s="285" t="s">
        <v>129</v>
      </c>
      <c r="N19" s="269"/>
      <c r="O19" s="269"/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0</v>
      </c>
      <c r="AF19" s="340">
        <f t="shared" si="6"/>
        <v>0</v>
      </c>
      <c r="AG19" s="343">
        <f t="shared" si="7"/>
        <v>0</v>
      </c>
      <c r="AH19" s="343">
        <f t="shared" si="0"/>
        <v>0</v>
      </c>
      <c r="AI19" s="343" t="e">
        <f t="shared" si="1"/>
        <v>#DIV/0!</v>
      </c>
      <c r="AJ19" s="343">
        <f t="shared" si="2"/>
        <v>0</v>
      </c>
      <c r="AK19" s="343">
        <f t="shared" si="3"/>
        <v>0</v>
      </c>
      <c r="AL19" s="344">
        <f t="shared" si="8"/>
        <v>0</v>
      </c>
      <c r="AN19" s="124"/>
      <c r="AO19" s="331"/>
      <c r="AP19" s="331"/>
      <c r="AQ19" s="331"/>
      <c r="AR19" s="331"/>
      <c r="AS19" s="331"/>
      <c r="AT19" s="331"/>
      <c r="AU19" s="331"/>
      <c r="AV19" s="332" t="str">
        <f t="shared" si="4"/>
        <v/>
      </c>
      <c r="AW19" s="331" t="str">
        <f t="shared" si="5"/>
        <v/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e">
        <f>"("&amp;TEXT(MIN(AD54:AE54),"0.#0")&amp;" - "&amp;TEXT(MAX(AD54:AE54),"0.#0) ")&amp;"= +/-"</f>
        <v>#VALUE!</v>
      </c>
      <c r="F20" s="491"/>
      <c r="G20" s="131" t="e">
        <f>ABS((AD54-AE54)/(2*E19))</f>
        <v>#DIV/0!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0</v>
      </c>
      <c r="AF20" s="340">
        <f t="shared" si="6"/>
        <v>0</v>
      </c>
      <c r="AG20" s="343">
        <f t="shared" si="7"/>
        <v>0</v>
      </c>
      <c r="AH20" s="343">
        <f t="shared" si="0"/>
        <v>0</v>
      </c>
      <c r="AI20" s="343" t="e">
        <f t="shared" si="1"/>
        <v>#DIV/0!</v>
      </c>
      <c r="AJ20" s="343">
        <f t="shared" si="2"/>
        <v>0</v>
      </c>
      <c r="AK20" s="343">
        <f t="shared" si="3"/>
        <v>0</v>
      </c>
      <c r="AL20" s="344">
        <f t="shared" si="8"/>
        <v>0</v>
      </c>
      <c r="AN20" s="124"/>
      <c r="AO20" s="331"/>
      <c r="AP20" s="331"/>
      <c r="AQ20" s="331"/>
      <c r="AR20" s="331"/>
      <c r="AS20" s="331"/>
      <c r="AT20" s="331"/>
      <c r="AU20" s="331"/>
      <c r="AV20" s="332" t="str">
        <f t="shared" si="4"/>
        <v/>
      </c>
      <c r="AW20" s="331" t="str">
        <f t="shared" si="5"/>
        <v/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 t="e">
        <f>(AD17+AD18)/(AD15+AD16)</f>
        <v>#DIV/0!</v>
      </c>
      <c r="AF21" s="340">
        <f t="shared" si="6"/>
        <v>0</v>
      </c>
      <c r="AG21" s="343">
        <f t="shared" si="7"/>
        <v>0</v>
      </c>
      <c r="AH21" s="343">
        <f t="shared" si="0"/>
        <v>0</v>
      </c>
      <c r="AI21" s="343" t="e">
        <f t="shared" si="1"/>
        <v>#DIV/0!</v>
      </c>
      <c r="AJ21" s="343">
        <f t="shared" si="2"/>
        <v>0</v>
      </c>
      <c r="AK21" s="343">
        <f t="shared" si="3"/>
        <v>0</v>
      </c>
      <c r="AL21" s="344">
        <f t="shared" si="8"/>
        <v>0</v>
      </c>
      <c r="AN21" s="124"/>
      <c r="AO21" s="331"/>
      <c r="AP21" s="331"/>
      <c r="AQ21" s="331"/>
      <c r="AR21" s="331"/>
      <c r="AS21" s="331"/>
      <c r="AT21" s="331"/>
      <c r="AU21" s="331"/>
      <c r="AV21" s="332" t="str">
        <f t="shared" si="4"/>
        <v/>
      </c>
      <c r="AW21" s="331" t="str">
        <f t="shared" si="5"/>
        <v/>
      </c>
    </row>
    <row r="22" spans="1:49" ht="12.75" customHeight="1" x14ac:dyDescent="0.2">
      <c r="A22" s="27"/>
      <c r="B22" s="55"/>
      <c r="C22" s="43"/>
      <c r="D22" s="189" t="s">
        <v>105</v>
      </c>
      <c r="E22" s="589"/>
      <c r="F22" s="589"/>
      <c r="G22" s="118"/>
      <c r="H22" s="118"/>
      <c r="I22" s="118"/>
      <c r="J22" s="119"/>
      <c r="K22" s="34"/>
      <c r="L22" s="31" t="s">
        <v>46</v>
      </c>
      <c r="M22" s="425"/>
      <c r="N22" s="427" t="e">
        <f>AG37</f>
        <v>#DIV/0!</v>
      </c>
      <c r="O22" s="136" t="e">
        <f t="shared" ref="N22:O24" si="9">AH37</f>
        <v>#NUM!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 t="e">
        <f>TINV(0.05,AE41)</f>
        <v>#NUM!</v>
      </c>
      <c r="AF22" s="340">
        <f t="shared" si="6"/>
        <v>0</v>
      </c>
      <c r="AG22" s="343">
        <f t="shared" si="7"/>
        <v>0</v>
      </c>
      <c r="AH22" s="343">
        <f t="shared" si="0"/>
        <v>0</v>
      </c>
      <c r="AI22" s="343" t="e">
        <f t="shared" si="1"/>
        <v>#DIV/0!</v>
      </c>
      <c r="AJ22" s="343">
        <f t="shared" si="2"/>
        <v>0</v>
      </c>
      <c r="AK22" s="343">
        <f t="shared" si="3"/>
        <v>0</v>
      </c>
      <c r="AL22" s="344">
        <f t="shared" si="8"/>
        <v>0</v>
      </c>
      <c r="AN22" s="124"/>
      <c r="AO22" s="331"/>
      <c r="AP22" s="331"/>
      <c r="AQ22" s="331"/>
      <c r="AR22" s="331"/>
      <c r="AS22" s="331"/>
      <c r="AT22" s="331"/>
      <c r="AU22" s="331"/>
      <c r="AV22" s="332" t="str">
        <f t="shared" si="4"/>
        <v/>
      </c>
      <c r="AW22" s="331" t="str">
        <f t="shared" si="5"/>
        <v/>
      </c>
    </row>
    <row r="23" spans="1:49" ht="12.75" customHeight="1" x14ac:dyDescent="0.2">
      <c r="A23" s="27"/>
      <c r="B23" s="55"/>
      <c r="C23" s="77"/>
      <c r="D23" s="190" t="s">
        <v>104</v>
      </c>
      <c r="E23" s="586"/>
      <c r="F23" s="587"/>
      <c r="G23" s="587"/>
      <c r="H23" s="587"/>
      <c r="I23" s="587"/>
      <c r="J23" s="588"/>
      <c r="K23" s="34"/>
      <c r="L23" s="116" t="s">
        <v>71</v>
      </c>
      <c r="M23" s="89"/>
      <c r="N23" s="427" t="e">
        <f>AG38</f>
        <v>#DIV/0!</v>
      </c>
      <c r="O23" s="136" t="e">
        <f t="shared" si="9"/>
        <v>#NUM!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 t="e">
        <f>SQRT(AF41)</f>
        <v>#DIV/0!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 t="e">
        <f t="shared" si="1"/>
        <v>#DIV/0!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/>
      <c r="E24" s="181"/>
      <c r="F24" s="51"/>
      <c r="G24" s="183"/>
      <c r="H24" s="181"/>
      <c r="I24" s="120"/>
      <c r="J24" s="121"/>
      <c r="K24" s="34"/>
      <c r="L24" s="117" t="s">
        <v>72</v>
      </c>
      <c r="M24" s="426"/>
      <c r="N24" s="427" t="e">
        <f t="shared" si="9"/>
        <v>#DIV/0!</v>
      </c>
      <c r="O24" s="136" t="e">
        <f t="shared" si="9"/>
        <v>#NUM!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 t="e">
        <f>AD22^2*AD23^2/(AD21^2*(AD15+AD16))</f>
        <v>#NUM!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/>
      <c r="E25" s="182"/>
      <c r="F25" s="185"/>
      <c r="G25" s="184"/>
      <c r="H25" s="182"/>
      <c r="I25" s="122"/>
      <c r="J25" s="123"/>
      <c r="K25" s="34"/>
      <c r="L25" s="429" t="s">
        <v>159</v>
      </c>
      <c r="M25" s="430"/>
      <c r="N25" s="428" t="e">
        <f>AD48/AD45</f>
        <v>#DIV/0!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 t="e">
        <f>(AD23^2/AD21^2)*((1/AD5+1/AD6)+(AD28-AD11+AD12)^2/(AD15+AD16))</f>
        <v>#DIV/0!</v>
      </c>
      <c r="AF26" s="359">
        <f>COUNTIF(AP26:AU26,"&gt;0")</f>
        <v>0</v>
      </c>
      <c r="AG26" s="360">
        <f t="shared" ref="AG26:AG32" si="10">SUM(AP26:AU26)</f>
        <v>0</v>
      </c>
      <c r="AH26" s="360">
        <f t="shared" ref="AH26:AH32" si="11">AF26*AW26</f>
        <v>0</v>
      </c>
      <c r="AI26" s="360" t="e">
        <f t="shared" ref="AI26:AI32" si="12">AF26*(AW26-$AD$12)^2</f>
        <v>#DIV/0!</v>
      </c>
      <c r="AJ26" s="360">
        <f t="shared" ref="AJ26:AJ32" si="13">IF(AF26=0,0,+AF26*(AG26/AF26-$AD$14)^2)</f>
        <v>0</v>
      </c>
      <c r="AK26" s="360">
        <f t="shared" ref="AK26:AK32" si="14">IF(AF26=0,0,+AF26*(AG26/AF26-$AD$14)*(AW26-$AD$12))</f>
        <v>0</v>
      </c>
      <c r="AL26" s="361">
        <f t="shared" ref="AL26:AL32" si="15">AP26^2+AQ26^2+AR26^2+AS26^2+AT26^2+AU26^2</f>
        <v>0</v>
      </c>
      <c r="AN26" s="423" t="s">
        <v>143</v>
      </c>
      <c r="AO26" s="335"/>
      <c r="AP26" s="336"/>
      <c r="AQ26" s="336"/>
      <c r="AR26" s="336"/>
      <c r="AS26" s="336"/>
      <c r="AT26" s="336"/>
      <c r="AU26" s="336"/>
      <c r="AV26" s="337" t="str">
        <f t="shared" ref="AV26:AV32" si="16">IF(AO26&gt;0,AW26*$AD$48+$AD$49,"")</f>
        <v/>
      </c>
      <c r="AW26" s="336" t="str">
        <f t="shared" ref="AW26:AW32" si="17">IF(AO26&gt;0,LOG(AO26),"")</f>
        <v/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 t="e">
        <f>(AD23*AD22/AD21)*SQRT((1-AD24)*(1/AD6+1/AD5)+(AD28-AD11+AD12)^2/(AD15+AD16))</f>
        <v>#DIV/0!</v>
      </c>
      <c r="AF27" s="339">
        <f t="shared" ref="AF27:AF32" si="18">COUNTIF(AP27:AU27,"&gt;0")</f>
        <v>0</v>
      </c>
      <c r="AG27" s="348">
        <f t="shared" si="10"/>
        <v>0</v>
      </c>
      <c r="AH27" s="348">
        <f t="shared" si="11"/>
        <v>0</v>
      </c>
      <c r="AI27" s="348" t="e">
        <f t="shared" si="12"/>
        <v>#DIV/0!</v>
      </c>
      <c r="AJ27" s="348">
        <f t="shared" si="13"/>
        <v>0</v>
      </c>
      <c r="AK27" s="348">
        <f t="shared" si="14"/>
        <v>0</v>
      </c>
      <c r="AL27" s="349">
        <f t="shared" si="15"/>
        <v>0</v>
      </c>
      <c r="AN27" s="125"/>
      <c r="AO27" s="335"/>
      <c r="AP27" s="336"/>
      <c r="AQ27" s="336"/>
      <c r="AR27" s="336"/>
      <c r="AS27" s="336"/>
      <c r="AT27" s="336"/>
      <c r="AU27" s="336"/>
      <c r="AV27" s="337" t="str">
        <f t="shared" si="16"/>
        <v/>
      </c>
      <c r="AW27" s="336" t="str">
        <f t="shared" si="17"/>
        <v/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 t="e">
        <f>$AD$11-$AD$12-(AD13-AD14)/AD21</f>
        <v>#DIV/0!</v>
      </c>
      <c r="AF28" s="339">
        <f t="shared" si="18"/>
        <v>0</v>
      </c>
      <c r="AG28" s="348">
        <f t="shared" si="10"/>
        <v>0</v>
      </c>
      <c r="AH28" s="348">
        <f t="shared" si="11"/>
        <v>0</v>
      </c>
      <c r="AI28" s="348" t="e">
        <f t="shared" si="12"/>
        <v>#DIV/0!</v>
      </c>
      <c r="AJ28" s="348">
        <f t="shared" si="13"/>
        <v>0</v>
      </c>
      <c r="AK28" s="348">
        <f t="shared" si="14"/>
        <v>0</v>
      </c>
      <c r="AL28" s="349">
        <f t="shared" si="15"/>
        <v>0</v>
      </c>
      <c r="AN28" s="125"/>
      <c r="AO28" s="335"/>
      <c r="AP28" s="336"/>
      <c r="AQ28" s="336"/>
      <c r="AR28" s="336"/>
      <c r="AS28" s="336"/>
      <c r="AT28" s="336"/>
      <c r="AU28" s="336"/>
      <c r="AV28" s="337" t="str">
        <f t="shared" si="16"/>
        <v/>
      </c>
      <c r="AW28" s="336" t="str">
        <f t="shared" si="17"/>
        <v/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 t="e">
        <f>$AD$11-$AD$12+($AD$28-$AD$11+$AD$12+$AD$27)/(1-$AD$24)</f>
        <v>#DIV/0!</v>
      </c>
      <c r="AF29" s="339">
        <f t="shared" si="18"/>
        <v>0</v>
      </c>
      <c r="AG29" s="348">
        <f t="shared" si="10"/>
        <v>0</v>
      </c>
      <c r="AH29" s="348">
        <f t="shared" si="11"/>
        <v>0</v>
      </c>
      <c r="AI29" s="348" t="e">
        <f t="shared" si="12"/>
        <v>#DIV/0!</v>
      </c>
      <c r="AJ29" s="348">
        <f t="shared" si="13"/>
        <v>0</v>
      </c>
      <c r="AK29" s="348">
        <f t="shared" si="14"/>
        <v>0</v>
      </c>
      <c r="AL29" s="349">
        <f t="shared" si="15"/>
        <v>0</v>
      </c>
      <c r="AN29" s="125"/>
      <c r="AO29" s="335"/>
      <c r="AP29" s="336"/>
      <c r="AQ29" s="336"/>
      <c r="AR29" s="336"/>
      <c r="AS29" s="336"/>
      <c r="AT29" s="336"/>
      <c r="AU29" s="336"/>
      <c r="AV29" s="337" t="str">
        <f t="shared" si="16"/>
        <v/>
      </c>
      <c r="AW29" s="336" t="str">
        <f t="shared" si="17"/>
        <v/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 t="e">
        <f>$AD$11-$AD$12+($AD$28-$AD$11+$AD$12-$AD$27)/(1-$AD$24)</f>
        <v>#DIV/0!</v>
      </c>
      <c r="AF30" s="339">
        <f t="shared" si="18"/>
        <v>0</v>
      </c>
      <c r="AG30" s="348">
        <f t="shared" si="10"/>
        <v>0</v>
      </c>
      <c r="AH30" s="348">
        <f t="shared" si="11"/>
        <v>0</v>
      </c>
      <c r="AI30" s="348" t="e">
        <f t="shared" si="12"/>
        <v>#DIV/0!</v>
      </c>
      <c r="AJ30" s="348">
        <f t="shared" si="13"/>
        <v>0</v>
      </c>
      <c r="AK30" s="348">
        <f t="shared" si="14"/>
        <v>0</v>
      </c>
      <c r="AL30" s="349">
        <f t="shared" si="15"/>
        <v>0</v>
      </c>
      <c r="AN30" s="125"/>
      <c r="AO30" s="335"/>
      <c r="AP30" s="336"/>
      <c r="AQ30" s="336"/>
      <c r="AR30" s="336"/>
      <c r="AS30" s="336"/>
      <c r="AT30" s="336"/>
      <c r="AU30" s="336"/>
      <c r="AV30" s="337" t="str">
        <f t="shared" si="16"/>
        <v/>
      </c>
      <c r="AW30" s="336" t="str">
        <f t="shared" si="17"/>
        <v/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0</v>
      </c>
      <c r="AG31" s="348">
        <f t="shared" si="10"/>
        <v>0</v>
      </c>
      <c r="AH31" s="348">
        <f t="shared" si="11"/>
        <v>0</v>
      </c>
      <c r="AI31" s="348" t="e">
        <f t="shared" si="12"/>
        <v>#DIV/0!</v>
      </c>
      <c r="AJ31" s="348">
        <f t="shared" si="13"/>
        <v>0</v>
      </c>
      <c r="AK31" s="348">
        <f t="shared" si="14"/>
        <v>0</v>
      </c>
      <c r="AL31" s="349">
        <f t="shared" si="15"/>
        <v>0</v>
      </c>
      <c r="AN31" s="125"/>
      <c r="AO31" s="335"/>
      <c r="AP31" s="336"/>
      <c r="AQ31" s="336"/>
      <c r="AR31" s="336"/>
      <c r="AS31" s="336"/>
      <c r="AT31" s="336"/>
      <c r="AU31" s="336"/>
      <c r="AV31" s="337" t="str">
        <f t="shared" si="16"/>
        <v/>
      </c>
      <c r="AW31" s="336" t="str">
        <f t="shared" si="17"/>
        <v/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 t="e">
        <f t="shared" si="12"/>
        <v>#DIV/0!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 t="e">
        <f>AD7^2/AD5+AD8^2/AD6-(AD7+AD8)^2/(AD5+AD6)</f>
        <v>#DIV/0!</v>
      </c>
      <c r="AE35" s="387">
        <v>1</v>
      </c>
      <c r="AF35" s="388" t="e">
        <f>AD35</f>
        <v>#DIV/0!</v>
      </c>
      <c r="AG35" s="389" t="e">
        <f>AF35/$AF$41</f>
        <v>#DIV/0!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 t="e">
        <f>(AD17+AD18)^2/(AD15+AD16)</f>
        <v>#DIV/0!</v>
      </c>
      <c r="AE36" s="387">
        <v>1</v>
      </c>
      <c r="AF36" s="388" t="e">
        <f>AD36</f>
        <v>#DIV/0!</v>
      </c>
      <c r="AG36" s="389" t="e">
        <f>AF36/$AF$41</f>
        <v>#DIV/0!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 t="e">
        <f>(AD17)^2/AD15+AD18^2/AD16-(AD17+AD18)^2/(AD15+AD16)</f>
        <v>#DIV/0!</v>
      </c>
      <c r="AE37" s="387">
        <v>1</v>
      </c>
      <c r="AF37" s="388" t="e">
        <f>AD37</f>
        <v>#DIV/0!</v>
      </c>
      <c r="AG37" s="391" t="e">
        <f>AF37/$AF$41</f>
        <v>#DIV/0!</v>
      </c>
      <c r="AH37" s="392" t="e">
        <f>FINV(0.05,AE37,AE$41)</f>
        <v>#NUM!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 t="e">
        <f>AD19-AD17^2/AD15</f>
        <v>#DIV/0!</v>
      </c>
      <c r="AE38" s="406">
        <f>AD3-2</f>
        <v>-2</v>
      </c>
      <c r="AF38" s="407" t="e">
        <f>AD38/AE38</f>
        <v>#DIV/0!</v>
      </c>
      <c r="AG38" s="408" t="e">
        <f>AF38/$AF$41</f>
        <v>#DIV/0!</v>
      </c>
      <c r="AH38" s="409" t="e">
        <f>FINV(0.05,AE38,AE$41)</f>
        <v>#NUM!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 t="e">
        <f>AD20-AD18^2/AD16</f>
        <v>#DIV/0!</v>
      </c>
      <c r="AE39" s="410">
        <f>AD4-2</f>
        <v>-2</v>
      </c>
      <c r="AF39" s="411" t="e">
        <f>AD39/AE39</f>
        <v>#DIV/0!</v>
      </c>
      <c r="AG39" s="412" t="e">
        <f>AF39/$AF$41</f>
        <v>#DIV/0!</v>
      </c>
      <c r="AH39" s="413" t="e">
        <f>FINV(0.05,AE39,AE$41)</f>
        <v>#NUM!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 t="e">
        <f>AD43-AD35-AD36-AD37-AD38-AD39</f>
        <v>#DIV/0!</v>
      </c>
      <c r="AE41" s="387">
        <f>AE43-AE35-AE36-AE37-AE38-AE39</f>
        <v>0</v>
      </c>
      <c r="AF41" s="388" t="e">
        <f>AD41/AE41</f>
        <v>#DIV/0!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 t="e">
        <f>SUM(AL17:AL32)-(AD7+AD8)^2/(AD5+AD6)</f>
        <v>#DIV/0!</v>
      </c>
      <c r="AE43" s="398">
        <f>(AD6+AD5)-1</f>
        <v>-1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 t="e">
        <f>AD17/AD15</f>
        <v>#DIV/0!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 t="e">
        <f>AD13-AD45*AD11</f>
        <v>#DIV/0!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 t="e">
        <f>AD18/AD16</f>
        <v>#DIV/0!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 t="e">
        <f>AD14-AD48*AD12</f>
        <v>#DIV/0!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 t="e">
        <f>10^AD28</f>
        <v>#DIV/0!</v>
      </c>
      <c r="AD53" s="419" t="e">
        <f>10^AD30</f>
        <v>#DIV/0!</v>
      </c>
      <c r="AE53" s="420" t="e">
        <f>10^AD29</f>
        <v>#DIV/0!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 t="e">
        <f>$AD$53*$N$19</f>
        <v>#DIV/0!</v>
      </c>
      <c r="AE54" s="179" t="e">
        <f>$AE$53*$N$19</f>
        <v>#DIV/0!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 t="e">
        <f>(AD53-AC53)/AC53</f>
        <v>#DIV/0!</v>
      </c>
      <c r="AE55" s="422" t="e">
        <f>(AE53-AC53)/AC53</f>
        <v>#DIV/0!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98" priority="7" stopIfTrue="1" operator="greaterThan">
      <formula>$O$22</formula>
    </cfRule>
    <cfRule type="cellIs" dxfId="97" priority="8" stopIfTrue="1" operator="notBetween">
      <formula>0.9</formula>
      <formula>1.1</formula>
    </cfRule>
    <cfRule type="cellIs" dxfId="96" priority="9" stopIfTrue="1" operator="between">
      <formula>0.9</formula>
      <formula>1.1</formula>
    </cfRule>
  </conditionalFormatting>
  <conditionalFormatting sqref="N22">
    <cfRule type="cellIs" dxfId="95" priority="5" stopIfTrue="1" operator="lessThanOrEqual">
      <formula>$O$22</formula>
    </cfRule>
    <cfRule type="cellIs" dxfId="94" priority="6" stopIfTrue="1" operator="greaterThan">
      <formula>$O$22</formula>
    </cfRule>
  </conditionalFormatting>
  <conditionalFormatting sqref="N23">
    <cfRule type="cellIs" dxfId="93" priority="3" stopIfTrue="1" operator="lessThanOrEqual">
      <formula>$O$23</formula>
    </cfRule>
    <cfRule type="cellIs" dxfId="92" priority="4" stopIfTrue="1" operator="greaterThan">
      <formula>$O$23</formula>
    </cfRule>
  </conditionalFormatting>
  <conditionalFormatting sqref="N24">
    <cfRule type="cellIs" dxfId="91" priority="1" stopIfTrue="1" operator="greaterThan">
      <formula>$O$24</formula>
    </cfRule>
    <cfRule type="cellIs" dxfId="90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13314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13314" r:id="rId4" name="RecalcSample1"/>
      </mc:Fallback>
    </mc:AlternateContent>
    <mc:AlternateContent xmlns:mc="http://schemas.openxmlformats.org/markup-compatibility/2006">
      <mc:Choice Requires="x14">
        <control shapeId="13313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13313" r:id="rId6" name="DixonButtonSampl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8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0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0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0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0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0</v>
      </c>
    </row>
    <row r="8" spans="1:49" ht="12.75" customHeight="1" x14ac:dyDescent="0.2">
      <c r="A8" s="27"/>
      <c r="B8" s="55"/>
      <c r="C8" s="49">
        <v>1</v>
      </c>
      <c r="D8" s="563"/>
      <c r="E8" s="265"/>
      <c r="F8" s="265"/>
      <c r="G8" s="265"/>
      <c r="H8" s="265"/>
      <c r="I8" s="265"/>
      <c r="J8" s="265"/>
      <c r="K8" s="148"/>
      <c r="L8" s="29">
        <v>1</v>
      </c>
      <c r="M8" s="563"/>
      <c r="N8" s="265"/>
      <c r="O8" s="265"/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0</v>
      </c>
    </row>
    <row r="9" spans="1:49" ht="12.75" customHeight="1" x14ac:dyDescent="0.2">
      <c r="A9" s="27"/>
      <c r="B9" s="55"/>
      <c r="C9" s="49">
        <v>2</v>
      </c>
      <c r="D9" s="563"/>
      <c r="E9" s="265"/>
      <c r="F9" s="265"/>
      <c r="G9" s="265"/>
      <c r="H9" s="265"/>
      <c r="I9" s="265"/>
      <c r="J9" s="265"/>
      <c r="K9" s="148"/>
      <c r="L9" s="29">
        <v>2</v>
      </c>
      <c r="M9" s="563"/>
      <c r="N9" s="265"/>
      <c r="O9" s="265"/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0</v>
      </c>
    </row>
    <row r="10" spans="1:49" ht="12.75" customHeight="1" x14ac:dyDescent="0.2">
      <c r="A10" s="27"/>
      <c r="B10" s="55"/>
      <c r="C10" s="49">
        <v>3</v>
      </c>
      <c r="D10" s="563"/>
      <c r="E10" s="265"/>
      <c r="F10" s="265"/>
      <c r="G10" s="265"/>
      <c r="H10" s="265"/>
      <c r="I10" s="265"/>
      <c r="J10" s="265"/>
      <c r="K10" s="148"/>
      <c r="L10" s="29">
        <v>3</v>
      </c>
      <c r="M10" s="563"/>
      <c r="N10" s="265"/>
      <c r="O10" s="265"/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0</v>
      </c>
    </row>
    <row r="11" spans="1:49" ht="12.75" customHeight="1" x14ac:dyDescent="0.2">
      <c r="A11" s="27"/>
      <c r="B11" s="55"/>
      <c r="C11" s="49">
        <v>4</v>
      </c>
      <c r="D11" s="563"/>
      <c r="E11" s="265"/>
      <c r="F11" s="265"/>
      <c r="G11" s="265"/>
      <c r="H11" s="265"/>
      <c r="I11" s="265"/>
      <c r="J11" s="265"/>
      <c r="K11" s="148"/>
      <c r="L11" s="29">
        <v>4</v>
      </c>
      <c r="M11" s="563"/>
      <c r="N11" s="265"/>
      <c r="O11" s="265"/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 t="e">
        <f>AD9/AD5</f>
        <v>#DIV/0!</v>
      </c>
    </row>
    <row r="12" spans="1:49" ht="12.75" customHeight="1" x14ac:dyDescent="0.2">
      <c r="A12" s="27"/>
      <c r="B12" s="55"/>
      <c r="C12" s="49">
        <v>5</v>
      </c>
      <c r="D12" s="563"/>
      <c r="E12" s="265"/>
      <c r="F12" s="265"/>
      <c r="G12" s="265"/>
      <c r="H12" s="265"/>
      <c r="I12" s="265"/>
      <c r="J12" s="265"/>
      <c r="K12" s="148"/>
      <c r="L12" s="29">
        <v>5</v>
      </c>
      <c r="M12" s="563"/>
      <c r="N12" s="265"/>
      <c r="O12" s="265"/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 t="e">
        <f>AD10/AD6</f>
        <v>#DIV/0!</v>
      </c>
    </row>
    <row r="13" spans="1:49" ht="12.75" customHeight="1" x14ac:dyDescent="0.2">
      <c r="A13" s="27"/>
      <c r="B13" s="55"/>
      <c r="C13" s="49">
        <v>6</v>
      </c>
      <c r="D13" s="563"/>
      <c r="E13" s="266"/>
      <c r="F13" s="266"/>
      <c r="G13" s="266"/>
      <c r="H13" s="266"/>
      <c r="I13" s="265"/>
      <c r="J13" s="265"/>
      <c r="K13" s="267"/>
      <c r="L13" s="29">
        <v>6</v>
      </c>
      <c r="M13" s="563"/>
      <c r="N13" s="266"/>
      <c r="O13" s="266"/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 t="e">
        <f>AD7/AD5</f>
        <v>#DIV/0!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 t="e">
        <f>AD8/AD6</f>
        <v>#DIV/0!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 t="e">
        <f>SUM(AI17:AI23)</f>
        <v>#DIV/0!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 t="e">
        <f>SUM(AI26:AI32)</f>
        <v>#DIV/0!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0</v>
      </c>
      <c r="AF17" s="353">
        <f>COUNTIF(AP17:AU17,"&gt;0")</f>
        <v>0</v>
      </c>
      <c r="AG17" s="354">
        <f>SUM(AP17:AU17)</f>
        <v>0</v>
      </c>
      <c r="AH17" s="354">
        <f t="shared" ref="AH17:AH23" si="0">AF17*AW17</f>
        <v>0</v>
      </c>
      <c r="AI17" s="354" t="e">
        <f t="shared" ref="AI17:AI23" si="1">AF17*(AW17-$AD$11)^2</f>
        <v>#DIV/0!</v>
      </c>
      <c r="AJ17" s="354">
        <f t="shared" ref="AJ17:AJ23" si="2">IF(AF17=0,0,+AF17*(AG17/AF17-$AD$13)^2)</f>
        <v>0</v>
      </c>
      <c r="AK17" s="354">
        <f t="shared" ref="AK17:AK23" si="3">IF(AF17=0,0,+AF17*(AG17/AF17-$AD$13)*(AW17-$AD$11))</f>
        <v>0</v>
      </c>
      <c r="AL17" s="355">
        <f>AP17^2+AQ17^2+AR17^2+AS17^2+AT17^2+AU17^2</f>
        <v>0</v>
      </c>
      <c r="AN17" s="13" t="s">
        <v>53</v>
      </c>
      <c r="AO17" s="331"/>
      <c r="AP17" s="331"/>
      <c r="AQ17" s="331"/>
      <c r="AR17" s="331"/>
      <c r="AS17" s="331"/>
      <c r="AT17" s="331"/>
      <c r="AU17" s="331"/>
      <c r="AV17" s="332" t="str">
        <f t="shared" ref="AV17:AV23" si="4">IF(AO17&gt;0,AW17*$AD$45+$AD$46,"")</f>
        <v/>
      </c>
      <c r="AW17" s="331" t="str">
        <f t="shared" ref="AW17:AW23" si="5">IF(AO17&gt;0,LOG(AO17),"")</f>
        <v/>
      </c>
    </row>
    <row r="18" spans="1:49" ht="12.75" customHeight="1" x14ac:dyDescent="0.2">
      <c r="A18" s="27"/>
      <c r="B18" s="55"/>
      <c r="C18" s="46"/>
      <c r="D18" s="187" t="s">
        <v>106</v>
      </c>
      <c r="E18" s="45"/>
      <c r="F18" s="73"/>
      <c r="G18" s="73"/>
      <c r="H18" s="73"/>
      <c r="I18" s="73"/>
      <c r="J18" s="44"/>
      <c r="K18" s="34"/>
      <c r="L18" s="273"/>
      <c r="M18" s="284" t="s">
        <v>128</v>
      </c>
      <c r="N18" s="274"/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0</v>
      </c>
      <c r="AF18" s="340">
        <f t="shared" ref="AF18:AF23" si="6">COUNTIF(AP18:AU18,"&gt;0")</f>
        <v>0</v>
      </c>
      <c r="AG18" s="343">
        <f t="shared" ref="AG18:AG23" si="7">SUM(AP18:AU18)</f>
        <v>0</v>
      </c>
      <c r="AH18" s="343">
        <f t="shared" si="0"/>
        <v>0</v>
      </c>
      <c r="AI18" s="343" t="e">
        <f t="shared" si="1"/>
        <v>#DIV/0!</v>
      </c>
      <c r="AJ18" s="343">
        <f t="shared" si="2"/>
        <v>0</v>
      </c>
      <c r="AK18" s="343">
        <f t="shared" si="3"/>
        <v>0</v>
      </c>
      <c r="AL18" s="344">
        <f t="shared" ref="AL18:AL23" si="8">AP18^2+AQ18^2+AR18^2+AS18^2+AT18^2+AU18^2</f>
        <v>0</v>
      </c>
      <c r="AN18" s="124"/>
      <c r="AO18" s="331"/>
      <c r="AP18" s="331"/>
      <c r="AQ18" s="331"/>
      <c r="AR18" s="331"/>
      <c r="AS18" s="331"/>
      <c r="AT18" s="331"/>
      <c r="AU18" s="331"/>
      <c r="AV18" s="332" t="str">
        <f t="shared" si="4"/>
        <v/>
      </c>
      <c r="AW18" s="331" t="str">
        <f t="shared" si="5"/>
        <v/>
      </c>
    </row>
    <row r="19" spans="1:49" ht="12.75" customHeight="1" x14ac:dyDescent="0.2">
      <c r="A19" s="27"/>
      <c r="B19" s="55"/>
      <c r="C19" s="172"/>
      <c r="D19" s="186" t="s">
        <v>107</v>
      </c>
      <c r="E19" s="490" t="e">
        <f>AC53*N19</f>
        <v>#DIV/0!</v>
      </c>
      <c r="F19" s="74">
        <f>O19</f>
        <v>0</v>
      </c>
      <c r="G19" s="74"/>
      <c r="H19" s="74"/>
      <c r="I19" s="74"/>
      <c r="J19" s="75"/>
      <c r="K19" s="34"/>
      <c r="L19" s="278"/>
      <c r="M19" s="285" t="s">
        <v>129</v>
      </c>
      <c r="N19" s="269"/>
      <c r="O19" s="269"/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0</v>
      </c>
      <c r="AF19" s="340">
        <f t="shared" si="6"/>
        <v>0</v>
      </c>
      <c r="AG19" s="343">
        <f t="shared" si="7"/>
        <v>0</v>
      </c>
      <c r="AH19" s="343">
        <f t="shared" si="0"/>
        <v>0</v>
      </c>
      <c r="AI19" s="343" t="e">
        <f t="shared" si="1"/>
        <v>#DIV/0!</v>
      </c>
      <c r="AJ19" s="343">
        <f t="shared" si="2"/>
        <v>0</v>
      </c>
      <c r="AK19" s="343">
        <f t="shared" si="3"/>
        <v>0</v>
      </c>
      <c r="AL19" s="344">
        <f t="shared" si="8"/>
        <v>0</v>
      </c>
      <c r="AN19" s="124"/>
      <c r="AO19" s="331"/>
      <c r="AP19" s="331"/>
      <c r="AQ19" s="331"/>
      <c r="AR19" s="331"/>
      <c r="AS19" s="331"/>
      <c r="AT19" s="331"/>
      <c r="AU19" s="331"/>
      <c r="AV19" s="332" t="str">
        <f t="shared" si="4"/>
        <v/>
      </c>
      <c r="AW19" s="331" t="str">
        <f t="shared" si="5"/>
        <v/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e">
        <f>"("&amp;TEXT(MIN(AD54:AE54),"0.#0")&amp;" - "&amp;TEXT(MAX(AD54:AE54),"0.#0) ")&amp;"= +/-"</f>
        <v>#VALUE!</v>
      </c>
      <c r="F20" s="491"/>
      <c r="G20" s="131" t="e">
        <f>ABS((AD54-AE54)/(2*E19))</f>
        <v>#DIV/0!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0</v>
      </c>
      <c r="AF20" s="340">
        <f t="shared" si="6"/>
        <v>0</v>
      </c>
      <c r="AG20" s="343">
        <f t="shared" si="7"/>
        <v>0</v>
      </c>
      <c r="AH20" s="343">
        <f t="shared" si="0"/>
        <v>0</v>
      </c>
      <c r="AI20" s="343" t="e">
        <f t="shared" si="1"/>
        <v>#DIV/0!</v>
      </c>
      <c r="AJ20" s="343">
        <f t="shared" si="2"/>
        <v>0</v>
      </c>
      <c r="AK20" s="343">
        <f t="shared" si="3"/>
        <v>0</v>
      </c>
      <c r="AL20" s="344">
        <f t="shared" si="8"/>
        <v>0</v>
      </c>
      <c r="AN20" s="124"/>
      <c r="AO20" s="331"/>
      <c r="AP20" s="331"/>
      <c r="AQ20" s="331"/>
      <c r="AR20" s="331"/>
      <c r="AS20" s="331"/>
      <c r="AT20" s="331"/>
      <c r="AU20" s="331"/>
      <c r="AV20" s="332" t="str">
        <f t="shared" si="4"/>
        <v/>
      </c>
      <c r="AW20" s="331" t="str">
        <f t="shared" si="5"/>
        <v/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 t="e">
        <f>(AD17+AD18)/(AD15+AD16)</f>
        <v>#DIV/0!</v>
      </c>
      <c r="AF21" s="340">
        <f t="shared" si="6"/>
        <v>0</v>
      </c>
      <c r="AG21" s="343">
        <f t="shared" si="7"/>
        <v>0</v>
      </c>
      <c r="AH21" s="343">
        <f t="shared" si="0"/>
        <v>0</v>
      </c>
      <c r="AI21" s="343" t="e">
        <f t="shared" si="1"/>
        <v>#DIV/0!</v>
      </c>
      <c r="AJ21" s="343">
        <f t="shared" si="2"/>
        <v>0</v>
      </c>
      <c r="AK21" s="343">
        <f t="shared" si="3"/>
        <v>0</v>
      </c>
      <c r="AL21" s="344">
        <f t="shared" si="8"/>
        <v>0</v>
      </c>
      <c r="AN21" s="124"/>
      <c r="AO21" s="331"/>
      <c r="AP21" s="331"/>
      <c r="AQ21" s="331"/>
      <c r="AR21" s="331"/>
      <c r="AS21" s="331"/>
      <c r="AT21" s="331"/>
      <c r="AU21" s="331"/>
      <c r="AV21" s="332" t="str">
        <f t="shared" si="4"/>
        <v/>
      </c>
      <c r="AW21" s="331" t="str">
        <f t="shared" si="5"/>
        <v/>
      </c>
    </row>
    <row r="22" spans="1:49" ht="12.75" customHeight="1" x14ac:dyDescent="0.2">
      <c r="A22" s="27"/>
      <c r="B22" s="55"/>
      <c r="C22" s="43"/>
      <c r="D22" s="189" t="s">
        <v>105</v>
      </c>
      <c r="E22" s="589"/>
      <c r="F22" s="589"/>
      <c r="G22" s="118"/>
      <c r="H22" s="118"/>
      <c r="I22" s="118"/>
      <c r="J22" s="119"/>
      <c r="K22" s="34"/>
      <c r="L22" s="31" t="s">
        <v>46</v>
      </c>
      <c r="M22" s="425"/>
      <c r="N22" s="427" t="e">
        <f>AG37</f>
        <v>#DIV/0!</v>
      </c>
      <c r="O22" s="136" t="e">
        <f t="shared" ref="N22:O24" si="9">AH37</f>
        <v>#NUM!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 t="e">
        <f>TINV(0.05,AE41)</f>
        <v>#NUM!</v>
      </c>
      <c r="AF22" s="340">
        <f t="shared" si="6"/>
        <v>0</v>
      </c>
      <c r="AG22" s="343">
        <f t="shared" si="7"/>
        <v>0</v>
      </c>
      <c r="AH22" s="343">
        <f t="shared" si="0"/>
        <v>0</v>
      </c>
      <c r="AI22" s="343" t="e">
        <f t="shared" si="1"/>
        <v>#DIV/0!</v>
      </c>
      <c r="AJ22" s="343">
        <f t="shared" si="2"/>
        <v>0</v>
      </c>
      <c r="AK22" s="343">
        <f t="shared" si="3"/>
        <v>0</v>
      </c>
      <c r="AL22" s="344">
        <f t="shared" si="8"/>
        <v>0</v>
      </c>
      <c r="AN22" s="124"/>
      <c r="AO22" s="331"/>
      <c r="AP22" s="331"/>
      <c r="AQ22" s="331"/>
      <c r="AR22" s="331"/>
      <c r="AS22" s="331"/>
      <c r="AT22" s="331"/>
      <c r="AU22" s="331"/>
      <c r="AV22" s="332" t="str">
        <f t="shared" si="4"/>
        <v/>
      </c>
      <c r="AW22" s="331" t="str">
        <f t="shared" si="5"/>
        <v/>
      </c>
    </row>
    <row r="23" spans="1:49" ht="12.75" customHeight="1" x14ac:dyDescent="0.2">
      <c r="A23" s="27"/>
      <c r="B23" s="55"/>
      <c r="C23" s="77"/>
      <c r="D23" s="190" t="s">
        <v>104</v>
      </c>
      <c r="E23" s="586"/>
      <c r="F23" s="587"/>
      <c r="G23" s="587"/>
      <c r="H23" s="587"/>
      <c r="I23" s="587"/>
      <c r="J23" s="588"/>
      <c r="K23" s="34"/>
      <c r="L23" s="116" t="s">
        <v>71</v>
      </c>
      <c r="M23" s="89"/>
      <c r="N23" s="427" t="e">
        <f>AG38</f>
        <v>#DIV/0!</v>
      </c>
      <c r="O23" s="136" t="e">
        <f t="shared" si="9"/>
        <v>#NUM!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 t="e">
        <f>SQRT(AF41)</f>
        <v>#DIV/0!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 t="e">
        <f t="shared" si="1"/>
        <v>#DIV/0!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/>
      <c r="E24" s="181"/>
      <c r="F24" s="51"/>
      <c r="G24" s="183"/>
      <c r="H24" s="181"/>
      <c r="I24" s="120"/>
      <c r="J24" s="121"/>
      <c r="K24" s="34"/>
      <c r="L24" s="117" t="s">
        <v>72</v>
      </c>
      <c r="M24" s="426"/>
      <c r="N24" s="427" t="e">
        <f t="shared" si="9"/>
        <v>#DIV/0!</v>
      </c>
      <c r="O24" s="136" t="e">
        <f t="shared" si="9"/>
        <v>#NUM!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 t="e">
        <f>AD22^2*AD23^2/(AD21^2*(AD15+AD16))</f>
        <v>#NUM!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/>
      <c r="E25" s="182"/>
      <c r="F25" s="185"/>
      <c r="G25" s="184"/>
      <c r="H25" s="182"/>
      <c r="I25" s="122"/>
      <c r="J25" s="123"/>
      <c r="K25" s="34"/>
      <c r="L25" s="429" t="s">
        <v>159</v>
      </c>
      <c r="M25" s="430"/>
      <c r="N25" s="428" t="e">
        <f>AD48/AD45</f>
        <v>#DIV/0!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 t="e">
        <f>(AD23^2/AD21^2)*((1/AD5+1/AD6)+(AD28-AD11+AD12)^2/(AD15+AD16))</f>
        <v>#DIV/0!</v>
      </c>
      <c r="AF26" s="359">
        <f>COUNTIF(AP26:AU26,"&gt;0")</f>
        <v>0</v>
      </c>
      <c r="AG26" s="360">
        <f t="shared" ref="AG26:AG32" si="10">SUM(AP26:AU26)</f>
        <v>0</v>
      </c>
      <c r="AH26" s="360">
        <f t="shared" ref="AH26:AH32" si="11">AF26*AW26</f>
        <v>0</v>
      </c>
      <c r="AI26" s="360" t="e">
        <f t="shared" ref="AI26:AI32" si="12">AF26*(AW26-$AD$12)^2</f>
        <v>#DIV/0!</v>
      </c>
      <c r="AJ26" s="360">
        <f t="shared" ref="AJ26:AJ32" si="13">IF(AF26=0,0,+AF26*(AG26/AF26-$AD$14)^2)</f>
        <v>0</v>
      </c>
      <c r="AK26" s="360">
        <f t="shared" ref="AK26:AK32" si="14">IF(AF26=0,0,+AF26*(AG26/AF26-$AD$14)*(AW26-$AD$12))</f>
        <v>0</v>
      </c>
      <c r="AL26" s="361">
        <f t="shared" ref="AL26:AL32" si="15">AP26^2+AQ26^2+AR26^2+AS26^2+AT26^2+AU26^2</f>
        <v>0</v>
      </c>
      <c r="AN26" s="423" t="s">
        <v>143</v>
      </c>
      <c r="AO26" s="335"/>
      <c r="AP26" s="336"/>
      <c r="AQ26" s="336"/>
      <c r="AR26" s="336"/>
      <c r="AS26" s="336"/>
      <c r="AT26" s="336"/>
      <c r="AU26" s="336"/>
      <c r="AV26" s="337" t="str">
        <f t="shared" ref="AV26:AV32" si="16">IF(AO26&gt;0,AW26*$AD$48+$AD$49,"")</f>
        <v/>
      </c>
      <c r="AW26" s="336" t="str">
        <f t="shared" ref="AW26:AW32" si="17">IF(AO26&gt;0,LOG(AO26),"")</f>
        <v/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 t="e">
        <f>(AD23*AD22/AD21)*SQRT((1-AD24)*(1/AD6+1/AD5)+(AD28-AD11+AD12)^2/(AD15+AD16))</f>
        <v>#DIV/0!</v>
      </c>
      <c r="AF27" s="339">
        <f t="shared" ref="AF27:AF32" si="18">COUNTIF(AP27:AU27,"&gt;0")</f>
        <v>0</v>
      </c>
      <c r="AG27" s="348">
        <f t="shared" si="10"/>
        <v>0</v>
      </c>
      <c r="AH27" s="348">
        <f t="shared" si="11"/>
        <v>0</v>
      </c>
      <c r="AI27" s="348" t="e">
        <f t="shared" si="12"/>
        <v>#DIV/0!</v>
      </c>
      <c r="AJ27" s="348">
        <f t="shared" si="13"/>
        <v>0</v>
      </c>
      <c r="AK27" s="348">
        <f t="shared" si="14"/>
        <v>0</v>
      </c>
      <c r="AL27" s="349">
        <f t="shared" si="15"/>
        <v>0</v>
      </c>
      <c r="AN27" s="125"/>
      <c r="AO27" s="335"/>
      <c r="AP27" s="336"/>
      <c r="AQ27" s="336"/>
      <c r="AR27" s="336"/>
      <c r="AS27" s="336"/>
      <c r="AT27" s="336"/>
      <c r="AU27" s="336"/>
      <c r="AV27" s="337" t="str">
        <f t="shared" si="16"/>
        <v/>
      </c>
      <c r="AW27" s="336" t="str">
        <f t="shared" si="17"/>
        <v/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 t="e">
        <f>$AD$11-$AD$12-(AD13-AD14)/AD21</f>
        <v>#DIV/0!</v>
      </c>
      <c r="AF28" s="339">
        <f t="shared" si="18"/>
        <v>0</v>
      </c>
      <c r="AG28" s="348">
        <f t="shared" si="10"/>
        <v>0</v>
      </c>
      <c r="AH28" s="348">
        <f t="shared" si="11"/>
        <v>0</v>
      </c>
      <c r="AI28" s="348" t="e">
        <f t="shared" si="12"/>
        <v>#DIV/0!</v>
      </c>
      <c r="AJ28" s="348">
        <f t="shared" si="13"/>
        <v>0</v>
      </c>
      <c r="AK28" s="348">
        <f t="shared" si="14"/>
        <v>0</v>
      </c>
      <c r="AL28" s="349">
        <f t="shared" si="15"/>
        <v>0</v>
      </c>
      <c r="AN28" s="125"/>
      <c r="AO28" s="335"/>
      <c r="AP28" s="336"/>
      <c r="AQ28" s="336"/>
      <c r="AR28" s="336"/>
      <c r="AS28" s="336"/>
      <c r="AT28" s="336"/>
      <c r="AU28" s="336"/>
      <c r="AV28" s="337" t="str">
        <f t="shared" si="16"/>
        <v/>
      </c>
      <c r="AW28" s="336" t="str">
        <f t="shared" si="17"/>
        <v/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 t="e">
        <f>$AD$11-$AD$12+($AD$28-$AD$11+$AD$12+$AD$27)/(1-$AD$24)</f>
        <v>#DIV/0!</v>
      </c>
      <c r="AF29" s="339">
        <f t="shared" si="18"/>
        <v>0</v>
      </c>
      <c r="AG29" s="348">
        <f t="shared" si="10"/>
        <v>0</v>
      </c>
      <c r="AH29" s="348">
        <f t="shared" si="11"/>
        <v>0</v>
      </c>
      <c r="AI29" s="348" t="e">
        <f t="shared" si="12"/>
        <v>#DIV/0!</v>
      </c>
      <c r="AJ29" s="348">
        <f t="shared" si="13"/>
        <v>0</v>
      </c>
      <c r="AK29" s="348">
        <f t="shared" si="14"/>
        <v>0</v>
      </c>
      <c r="AL29" s="349">
        <f t="shared" si="15"/>
        <v>0</v>
      </c>
      <c r="AN29" s="125"/>
      <c r="AO29" s="335"/>
      <c r="AP29" s="336"/>
      <c r="AQ29" s="336"/>
      <c r="AR29" s="336"/>
      <c r="AS29" s="336"/>
      <c r="AT29" s="336"/>
      <c r="AU29" s="336"/>
      <c r="AV29" s="337" t="str">
        <f t="shared" si="16"/>
        <v/>
      </c>
      <c r="AW29" s="336" t="str">
        <f t="shared" si="17"/>
        <v/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 t="e">
        <f>$AD$11-$AD$12+($AD$28-$AD$11+$AD$12-$AD$27)/(1-$AD$24)</f>
        <v>#DIV/0!</v>
      </c>
      <c r="AF30" s="339">
        <f t="shared" si="18"/>
        <v>0</v>
      </c>
      <c r="AG30" s="348">
        <f t="shared" si="10"/>
        <v>0</v>
      </c>
      <c r="AH30" s="348">
        <f t="shared" si="11"/>
        <v>0</v>
      </c>
      <c r="AI30" s="348" t="e">
        <f t="shared" si="12"/>
        <v>#DIV/0!</v>
      </c>
      <c r="AJ30" s="348">
        <f t="shared" si="13"/>
        <v>0</v>
      </c>
      <c r="AK30" s="348">
        <f t="shared" si="14"/>
        <v>0</v>
      </c>
      <c r="AL30" s="349">
        <f t="shared" si="15"/>
        <v>0</v>
      </c>
      <c r="AN30" s="125"/>
      <c r="AO30" s="335"/>
      <c r="AP30" s="336"/>
      <c r="AQ30" s="336"/>
      <c r="AR30" s="336"/>
      <c r="AS30" s="336"/>
      <c r="AT30" s="336"/>
      <c r="AU30" s="336"/>
      <c r="AV30" s="337" t="str">
        <f t="shared" si="16"/>
        <v/>
      </c>
      <c r="AW30" s="336" t="str">
        <f t="shared" si="17"/>
        <v/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0</v>
      </c>
      <c r="AG31" s="348">
        <f t="shared" si="10"/>
        <v>0</v>
      </c>
      <c r="AH31" s="348">
        <f t="shared" si="11"/>
        <v>0</v>
      </c>
      <c r="AI31" s="348" t="e">
        <f t="shared" si="12"/>
        <v>#DIV/0!</v>
      </c>
      <c r="AJ31" s="348">
        <f t="shared" si="13"/>
        <v>0</v>
      </c>
      <c r="AK31" s="348">
        <f t="shared" si="14"/>
        <v>0</v>
      </c>
      <c r="AL31" s="349">
        <f t="shared" si="15"/>
        <v>0</v>
      </c>
      <c r="AN31" s="125"/>
      <c r="AO31" s="335"/>
      <c r="AP31" s="336"/>
      <c r="AQ31" s="336"/>
      <c r="AR31" s="336"/>
      <c r="AS31" s="336"/>
      <c r="AT31" s="336"/>
      <c r="AU31" s="336"/>
      <c r="AV31" s="337" t="str">
        <f t="shared" si="16"/>
        <v/>
      </c>
      <c r="AW31" s="336" t="str">
        <f t="shared" si="17"/>
        <v/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 t="e">
        <f t="shared" si="12"/>
        <v>#DIV/0!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 t="e">
        <f>AD7^2/AD5+AD8^2/AD6-(AD7+AD8)^2/(AD5+AD6)</f>
        <v>#DIV/0!</v>
      </c>
      <c r="AE35" s="387">
        <v>1</v>
      </c>
      <c r="AF35" s="388" t="e">
        <f>AD35</f>
        <v>#DIV/0!</v>
      </c>
      <c r="AG35" s="389" t="e">
        <f>AF35/$AF$41</f>
        <v>#DIV/0!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 t="e">
        <f>(AD17+AD18)^2/(AD15+AD16)</f>
        <v>#DIV/0!</v>
      </c>
      <c r="AE36" s="387">
        <v>1</v>
      </c>
      <c r="AF36" s="388" t="e">
        <f>AD36</f>
        <v>#DIV/0!</v>
      </c>
      <c r="AG36" s="389" t="e">
        <f>AF36/$AF$41</f>
        <v>#DIV/0!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 t="e">
        <f>(AD17)^2/AD15+AD18^2/AD16-(AD17+AD18)^2/(AD15+AD16)</f>
        <v>#DIV/0!</v>
      </c>
      <c r="AE37" s="387">
        <v>1</v>
      </c>
      <c r="AF37" s="388" t="e">
        <f>AD37</f>
        <v>#DIV/0!</v>
      </c>
      <c r="AG37" s="391" t="e">
        <f>AF37/$AF$41</f>
        <v>#DIV/0!</v>
      </c>
      <c r="AH37" s="392" t="e">
        <f>FINV(0.05,AE37,AE$41)</f>
        <v>#NUM!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 t="e">
        <f>AD19-AD17^2/AD15</f>
        <v>#DIV/0!</v>
      </c>
      <c r="AE38" s="406">
        <f>AD3-2</f>
        <v>-2</v>
      </c>
      <c r="AF38" s="407" t="e">
        <f>AD38/AE38</f>
        <v>#DIV/0!</v>
      </c>
      <c r="AG38" s="408" t="e">
        <f>AF38/$AF$41</f>
        <v>#DIV/0!</v>
      </c>
      <c r="AH38" s="409" t="e">
        <f>FINV(0.05,AE38,AE$41)</f>
        <v>#NUM!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 t="e">
        <f>AD20-AD18^2/AD16</f>
        <v>#DIV/0!</v>
      </c>
      <c r="AE39" s="410">
        <f>AD4-2</f>
        <v>-2</v>
      </c>
      <c r="AF39" s="411" t="e">
        <f>AD39/AE39</f>
        <v>#DIV/0!</v>
      </c>
      <c r="AG39" s="412" t="e">
        <f>AF39/$AF$41</f>
        <v>#DIV/0!</v>
      </c>
      <c r="AH39" s="413" t="e">
        <f>FINV(0.05,AE39,AE$41)</f>
        <v>#NUM!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 t="e">
        <f>AD43-AD35-AD36-AD37-AD38-AD39</f>
        <v>#DIV/0!</v>
      </c>
      <c r="AE41" s="387">
        <f>AE43-AE35-AE36-AE37-AE38-AE39</f>
        <v>0</v>
      </c>
      <c r="AF41" s="388" t="e">
        <f>AD41/AE41</f>
        <v>#DIV/0!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 t="e">
        <f>SUM(AL17:AL32)-(AD7+AD8)^2/(AD5+AD6)</f>
        <v>#DIV/0!</v>
      </c>
      <c r="AE43" s="398">
        <f>(AD6+AD5)-1</f>
        <v>-1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 t="e">
        <f>AD17/AD15</f>
        <v>#DIV/0!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 t="e">
        <f>AD13-AD45*AD11</f>
        <v>#DIV/0!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 t="e">
        <f>AD18/AD16</f>
        <v>#DIV/0!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 t="e">
        <f>AD14-AD48*AD12</f>
        <v>#DIV/0!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 t="e">
        <f>10^AD28</f>
        <v>#DIV/0!</v>
      </c>
      <c r="AD53" s="419" t="e">
        <f>10^AD30</f>
        <v>#DIV/0!</v>
      </c>
      <c r="AE53" s="420" t="e">
        <f>10^AD29</f>
        <v>#DIV/0!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 t="e">
        <f>$AD$53*$N$19</f>
        <v>#DIV/0!</v>
      </c>
      <c r="AE54" s="179" t="e">
        <f>$AE$53*$N$19</f>
        <v>#DIV/0!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 t="e">
        <f>(AD53-AC53)/AC53</f>
        <v>#DIV/0!</v>
      </c>
      <c r="AE55" s="422" t="e">
        <f>(AE53-AC53)/AC53</f>
        <v>#DIV/0!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89" priority="7" stopIfTrue="1" operator="greaterThan">
      <formula>$O$22</formula>
    </cfRule>
    <cfRule type="cellIs" dxfId="88" priority="8" stopIfTrue="1" operator="notBetween">
      <formula>0.9</formula>
      <formula>1.1</formula>
    </cfRule>
    <cfRule type="cellIs" dxfId="87" priority="9" stopIfTrue="1" operator="between">
      <formula>0.9</formula>
      <formula>1.1</formula>
    </cfRule>
  </conditionalFormatting>
  <conditionalFormatting sqref="N22">
    <cfRule type="cellIs" dxfId="86" priority="5" stopIfTrue="1" operator="lessThanOrEqual">
      <formula>$O$22</formula>
    </cfRule>
    <cfRule type="cellIs" dxfId="85" priority="6" stopIfTrue="1" operator="greaterThan">
      <formula>$O$22</formula>
    </cfRule>
  </conditionalFormatting>
  <conditionalFormatting sqref="N23">
    <cfRule type="cellIs" dxfId="84" priority="3" stopIfTrue="1" operator="lessThanOrEqual">
      <formula>$O$23</formula>
    </cfRule>
    <cfRule type="cellIs" dxfId="83" priority="4" stopIfTrue="1" operator="greaterThan">
      <formula>$O$23</formula>
    </cfRule>
  </conditionalFormatting>
  <conditionalFormatting sqref="N24">
    <cfRule type="cellIs" dxfId="82" priority="1" stopIfTrue="1" operator="greaterThan">
      <formula>$O$24</formula>
    </cfRule>
    <cfRule type="cellIs" dxfId="81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14338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14338" r:id="rId4" name="RecalcSample1"/>
      </mc:Fallback>
    </mc:AlternateContent>
    <mc:AlternateContent xmlns:mc="http://schemas.openxmlformats.org/markup-compatibility/2006">
      <mc:Choice Requires="x14">
        <control shapeId="14337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14337" r:id="rId6" name="DixonButtonSampl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9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0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0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0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0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0</v>
      </c>
    </row>
    <row r="8" spans="1:49" ht="12.75" customHeight="1" x14ac:dyDescent="0.2">
      <c r="A8" s="27"/>
      <c r="B8" s="55"/>
      <c r="C8" s="49">
        <v>1</v>
      </c>
      <c r="D8" s="563"/>
      <c r="E8" s="265"/>
      <c r="F8" s="265"/>
      <c r="G8" s="265"/>
      <c r="H8" s="265"/>
      <c r="I8" s="265"/>
      <c r="J8" s="265"/>
      <c r="K8" s="148"/>
      <c r="L8" s="29">
        <v>1</v>
      </c>
      <c r="M8" s="563"/>
      <c r="N8" s="265"/>
      <c r="O8" s="265"/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0</v>
      </c>
    </row>
    <row r="9" spans="1:49" ht="12.75" customHeight="1" x14ac:dyDescent="0.2">
      <c r="A9" s="27"/>
      <c r="B9" s="55"/>
      <c r="C9" s="49">
        <v>2</v>
      </c>
      <c r="D9" s="563"/>
      <c r="E9" s="265"/>
      <c r="F9" s="265"/>
      <c r="G9" s="265"/>
      <c r="H9" s="265"/>
      <c r="I9" s="265"/>
      <c r="J9" s="265"/>
      <c r="K9" s="148"/>
      <c r="L9" s="29">
        <v>2</v>
      </c>
      <c r="M9" s="563"/>
      <c r="N9" s="265"/>
      <c r="O9" s="265"/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0</v>
      </c>
    </row>
    <row r="10" spans="1:49" ht="12.75" customHeight="1" x14ac:dyDescent="0.2">
      <c r="A10" s="27"/>
      <c r="B10" s="55"/>
      <c r="C10" s="49">
        <v>3</v>
      </c>
      <c r="D10" s="563"/>
      <c r="E10" s="265"/>
      <c r="F10" s="265"/>
      <c r="G10" s="265"/>
      <c r="H10" s="265"/>
      <c r="I10" s="265"/>
      <c r="J10" s="265"/>
      <c r="K10" s="148"/>
      <c r="L10" s="29">
        <v>3</v>
      </c>
      <c r="M10" s="563"/>
      <c r="N10" s="265"/>
      <c r="O10" s="265"/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0</v>
      </c>
    </row>
    <row r="11" spans="1:49" ht="12.75" customHeight="1" x14ac:dyDescent="0.2">
      <c r="A11" s="27"/>
      <c r="B11" s="55"/>
      <c r="C11" s="49">
        <v>4</v>
      </c>
      <c r="D11" s="563"/>
      <c r="E11" s="265"/>
      <c r="F11" s="265"/>
      <c r="G11" s="265"/>
      <c r="H11" s="265"/>
      <c r="I11" s="265"/>
      <c r="J11" s="265"/>
      <c r="K11" s="148"/>
      <c r="L11" s="29">
        <v>4</v>
      </c>
      <c r="M11" s="563"/>
      <c r="N11" s="265"/>
      <c r="O11" s="265"/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 t="e">
        <f>AD9/AD5</f>
        <v>#DIV/0!</v>
      </c>
    </row>
    <row r="12" spans="1:49" ht="12.75" customHeight="1" x14ac:dyDescent="0.2">
      <c r="A12" s="27"/>
      <c r="B12" s="55"/>
      <c r="C12" s="49">
        <v>5</v>
      </c>
      <c r="D12" s="563"/>
      <c r="E12" s="265"/>
      <c r="F12" s="265"/>
      <c r="G12" s="265"/>
      <c r="H12" s="265"/>
      <c r="I12" s="265"/>
      <c r="J12" s="265"/>
      <c r="K12" s="148"/>
      <c r="L12" s="29">
        <v>5</v>
      </c>
      <c r="M12" s="563"/>
      <c r="N12" s="265"/>
      <c r="O12" s="265"/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 t="e">
        <f>AD10/AD6</f>
        <v>#DIV/0!</v>
      </c>
    </row>
    <row r="13" spans="1:49" ht="12.75" customHeight="1" x14ac:dyDescent="0.2">
      <c r="A13" s="27"/>
      <c r="B13" s="55"/>
      <c r="C13" s="49">
        <v>6</v>
      </c>
      <c r="D13" s="563"/>
      <c r="E13" s="266"/>
      <c r="F13" s="266"/>
      <c r="G13" s="266"/>
      <c r="H13" s="266"/>
      <c r="I13" s="265"/>
      <c r="J13" s="265"/>
      <c r="K13" s="267"/>
      <c r="L13" s="29">
        <v>6</v>
      </c>
      <c r="M13" s="563"/>
      <c r="N13" s="266"/>
      <c r="O13" s="266"/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 t="e">
        <f>AD7/AD5</f>
        <v>#DIV/0!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 t="e">
        <f>AD8/AD6</f>
        <v>#DIV/0!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 t="e">
        <f>SUM(AI17:AI23)</f>
        <v>#DIV/0!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 t="e">
        <f>SUM(AI26:AI32)</f>
        <v>#DIV/0!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0</v>
      </c>
      <c r="AF17" s="353">
        <f>COUNTIF(AP17:AU17,"&gt;0")</f>
        <v>0</v>
      </c>
      <c r="AG17" s="354">
        <f>SUM(AP17:AU17)</f>
        <v>0</v>
      </c>
      <c r="AH17" s="354">
        <f t="shared" ref="AH17:AH23" si="0">AF17*AW17</f>
        <v>0</v>
      </c>
      <c r="AI17" s="354" t="e">
        <f t="shared" ref="AI17:AI23" si="1">AF17*(AW17-$AD$11)^2</f>
        <v>#DIV/0!</v>
      </c>
      <c r="AJ17" s="354">
        <f t="shared" ref="AJ17:AJ23" si="2">IF(AF17=0,0,+AF17*(AG17/AF17-$AD$13)^2)</f>
        <v>0</v>
      </c>
      <c r="AK17" s="354">
        <f t="shared" ref="AK17:AK23" si="3">IF(AF17=0,0,+AF17*(AG17/AF17-$AD$13)*(AW17-$AD$11))</f>
        <v>0</v>
      </c>
      <c r="AL17" s="355">
        <f>AP17^2+AQ17^2+AR17^2+AS17^2+AT17^2+AU17^2</f>
        <v>0</v>
      </c>
      <c r="AN17" s="13" t="s">
        <v>53</v>
      </c>
      <c r="AO17" s="331"/>
      <c r="AP17" s="331"/>
      <c r="AQ17" s="331"/>
      <c r="AR17" s="331"/>
      <c r="AS17" s="331"/>
      <c r="AT17" s="331"/>
      <c r="AU17" s="331"/>
      <c r="AV17" s="332" t="str">
        <f t="shared" ref="AV17:AV23" si="4">IF(AO17&gt;0,AW17*$AD$45+$AD$46,"")</f>
        <v/>
      </c>
      <c r="AW17" s="331" t="str">
        <f t="shared" ref="AW17:AW23" si="5">IF(AO17&gt;0,LOG(AO17),"")</f>
        <v/>
      </c>
    </row>
    <row r="18" spans="1:49" ht="12.75" customHeight="1" x14ac:dyDescent="0.2">
      <c r="A18" s="27"/>
      <c r="B18" s="55"/>
      <c r="C18" s="46"/>
      <c r="D18" s="187" t="s">
        <v>106</v>
      </c>
      <c r="E18" s="45"/>
      <c r="F18" s="73"/>
      <c r="G18" s="73"/>
      <c r="H18" s="73"/>
      <c r="I18" s="73"/>
      <c r="J18" s="44"/>
      <c r="K18" s="34"/>
      <c r="L18" s="273"/>
      <c r="M18" s="284" t="s">
        <v>128</v>
      </c>
      <c r="N18" s="274"/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0</v>
      </c>
      <c r="AF18" s="340">
        <f t="shared" ref="AF18:AF23" si="6">COUNTIF(AP18:AU18,"&gt;0")</f>
        <v>0</v>
      </c>
      <c r="AG18" s="343">
        <f t="shared" ref="AG18:AG23" si="7">SUM(AP18:AU18)</f>
        <v>0</v>
      </c>
      <c r="AH18" s="343">
        <f t="shared" si="0"/>
        <v>0</v>
      </c>
      <c r="AI18" s="343" t="e">
        <f t="shared" si="1"/>
        <v>#DIV/0!</v>
      </c>
      <c r="AJ18" s="343">
        <f t="shared" si="2"/>
        <v>0</v>
      </c>
      <c r="AK18" s="343">
        <f t="shared" si="3"/>
        <v>0</v>
      </c>
      <c r="AL18" s="344">
        <f t="shared" ref="AL18:AL23" si="8">AP18^2+AQ18^2+AR18^2+AS18^2+AT18^2+AU18^2</f>
        <v>0</v>
      </c>
      <c r="AN18" s="124"/>
      <c r="AO18" s="331"/>
      <c r="AP18" s="331"/>
      <c r="AQ18" s="331"/>
      <c r="AR18" s="331"/>
      <c r="AS18" s="331"/>
      <c r="AT18" s="331"/>
      <c r="AU18" s="331"/>
      <c r="AV18" s="332" t="str">
        <f t="shared" si="4"/>
        <v/>
      </c>
      <c r="AW18" s="331" t="str">
        <f t="shared" si="5"/>
        <v/>
      </c>
    </row>
    <row r="19" spans="1:49" ht="12.75" customHeight="1" x14ac:dyDescent="0.2">
      <c r="A19" s="27"/>
      <c r="B19" s="55"/>
      <c r="C19" s="172"/>
      <c r="D19" s="186" t="s">
        <v>107</v>
      </c>
      <c r="E19" s="490" t="e">
        <f>AC53*N19</f>
        <v>#DIV/0!</v>
      </c>
      <c r="F19" s="74">
        <f>O19</f>
        <v>0</v>
      </c>
      <c r="G19" s="74"/>
      <c r="H19" s="74"/>
      <c r="I19" s="74"/>
      <c r="J19" s="75"/>
      <c r="K19" s="34"/>
      <c r="L19" s="278"/>
      <c r="M19" s="285" t="s">
        <v>129</v>
      </c>
      <c r="N19" s="269"/>
      <c r="O19" s="269"/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0</v>
      </c>
      <c r="AF19" s="340">
        <f t="shared" si="6"/>
        <v>0</v>
      </c>
      <c r="AG19" s="343">
        <f t="shared" si="7"/>
        <v>0</v>
      </c>
      <c r="AH19" s="343">
        <f t="shared" si="0"/>
        <v>0</v>
      </c>
      <c r="AI19" s="343" t="e">
        <f t="shared" si="1"/>
        <v>#DIV/0!</v>
      </c>
      <c r="AJ19" s="343">
        <f t="shared" si="2"/>
        <v>0</v>
      </c>
      <c r="AK19" s="343">
        <f t="shared" si="3"/>
        <v>0</v>
      </c>
      <c r="AL19" s="344">
        <f t="shared" si="8"/>
        <v>0</v>
      </c>
      <c r="AN19" s="124"/>
      <c r="AO19" s="331"/>
      <c r="AP19" s="331"/>
      <c r="AQ19" s="331"/>
      <c r="AR19" s="331"/>
      <c r="AS19" s="331"/>
      <c r="AT19" s="331"/>
      <c r="AU19" s="331"/>
      <c r="AV19" s="332" t="str">
        <f t="shared" si="4"/>
        <v/>
      </c>
      <c r="AW19" s="331" t="str">
        <f t="shared" si="5"/>
        <v/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e">
        <f>"("&amp;TEXT(MIN(AD54:AE54),"0.#0")&amp;" - "&amp;TEXT(MAX(AD54:AE54),"0.#0) ")&amp;"= +/-"</f>
        <v>#VALUE!</v>
      </c>
      <c r="F20" s="491"/>
      <c r="G20" s="131" t="e">
        <f>ABS((AD54-AE54)/(2*E19))</f>
        <v>#DIV/0!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0</v>
      </c>
      <c r="AF20" s="340">
        <f t="shared" si="6"/>
        <v>0</v>
      </c>
      <c r="AG20" s="343">
        <f t="shared" si="7"/>
        <v>0</v>
      </c>
      <c r="AH20" s="343">
        <f t="shared" si="0"/>
        <v>0</v>
      </c>
      <c r="AI20" s="343" t="e">
        <f t="shared" si="1"/>
        <v>#DIV/0!</v>
      </c>
      <c r="AJ20" s="343">
        <f t="shared" si="2"/>
        <v>0</v>
      </c>
      <c r="AK20" s="343">
        <f t="shared" si="3"/>
        <v>0</v>
      </c>
      <c r="AL20" s="344">
        <f t="shared" si="8"/>
        <v>0</v>
      </c>
      <c r="AN20" s="124"/>
      <c r="AO20" s="331"/>
      <c r="AP20" s="331"/>
      <c r="AQ20" s="331"/>
      <c r="AR20" s="331"/>
      <c r="AS20" s="331"/>
      <c r="AT20" s="331"/>
      <c r="AU20" s="331"/>
      <c r="AV20" s="332" t="str">
        <f t="shared" si="4"/>
        <v/>
      </c>
      <c r="AW20" s="331" t="str">
        <f t="shared" si="5"/>
        <v/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 t="e">
        <f>(AD17+AD18)/(AD15+AD16)</f>
        <v>#DIV/0!</v>
      </c>
      <c r="AF21" s="340">
        <f t="shared" si="6"/>
        <v>0</v>
      </c>
      <c r="AG21" s="343">
        <f t="shared" si="7"/>
        <v>0</v>
      </c>
      <c r="AH21" s="343">
        <f t="shared" si="0"/>
        <v>0</v>
      </c>
      <c r="AI21" s="343" t="e">
        <f t="shared" si="1"/>
        <v>#DIV/0!</v>
      </c>
      <c r="AJ21" s="343">
        <f t="shared" si="2"/>
        <v>0</v>
      </c>
      <c r="AK21" s="343">
        <f t="shared" si="3"/>
        <v>0</v>
      </c>
      <c r="AL21" s="344">
        <f t="shared" si="8"/>
        <v>0</v>
      </c>
      <c r="AN21" s="124"/>
      <c r="AO21" s="331"/>
      <c r="AP21" s="331"/>
      <c r="AQ21" s="331"/>
      <c r="AR21" s="331"/>
      <c r="AS21" s="331"/>
      <c r="AT21" s="331"/>
      <c r="AU21" s="331"/>
      <c r="AV21" s="332" t="str">
        <f t="shared" si="4"/>
        <v/>
      </c>
      <c r="AW21" s="331" t="str">
        <f t="shared" si="5"/>
        <v/>
      </c>
    </row>
    <row r="22" spans="1:49" ht="12.75" customHeight="1" x14ac:dyDescent="0.2">
      <c r="A22" s="27"/>
      <c r="B22" s="55"/>
      <c r="C22" s="43"/>
      <c r="D22" s="189" t="s">
        <v>105</v>
      </c>
      <c r="E22" s="589"/>
      <c r="F22" s="589"/>
      <c r="G22" s="118"/>
      <c r="H22" s="118"/>
      <c r="I22" s="118"/>
      <c r="J22" s="119"/>
      <c r="K22" s="34"/>
      <c r="L22" s="31" t="s">
        <v>46</v>
      </c>
      <c r="M22" s="425"/>
      <c r="N22" s="427" t="e">
        <f>AG37</f>
        <v>#DIV/0!</v>
      </c>
      <c r="O22" s="136" t="e">
        <f t="shared" ref="N22:O24" si="9">AH37</f>
        <v>#NUM!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 t="e">
        <f>TINV(0.05,AE41)</f>
        <v>#NUM!</v>
      </c>
      <c r="AF22" s="340">
        <f t="shared" si="6"/>
        <v>0</v>
      </c>
      <c r="AG22" s="343">
        <f t="shared" si="7"/>
        <v>0</v>
      </c>
      <c r="AH22" s="343">
        <f t="shared" si="0"/>
        <v>0</v>
      </c>
      <c r="AI22" s="343" t="e">
        <f t="shared" si="1"/>
        <v>#DIV/0!</v>
      </c>
      <c r="AJ22" s="343">
        <f t="shared" si="2"/>
        <v>0</v>
      </c>
      <c r="AK22" s="343">
        <f t="shared" si="3"/>
        <v>0</v>
      </c>
      <c r="AL22" s="344">
        <f t="shared" si="8"/>
        <v>0</v>
      </c>
      <c r="AN22" s="124"/>
      <c r="AO22" s="331"/>
      <c r="AP22" s="331"/>
      <c r="AQ22" s="331"/>
      <c r="AR22" s="331"/>
      <c r="AS22" s="331"/>
      <c r="AT22" s="331"/>
      <c r="AU22" s="331"/>
      <c r="AV22" s="332" t="str">
        <f t="shared" si="4"/>
        <v/>
      </c>
      <c r="AW22" s="331" t="str">
        <f t="shared" si="5"/>
        <v/>
      </c>
    </row>
    <row r="23" spans="1:49" ht="12.75" customHeight="1" x14ac:dyDescent="0.2">
      <c r="A23" s="27"/>
      <c r="B23" s="55"/>
      <c r="C23" s="77"/>
      <c r="D23" s="190" t="s">
        <v>104</v>
      </c>
      <c r="E23" s="586"/>
      <c r="F23" s="587"/>
      <c r="G23" s="587"/>
      <c r="H23" s="587"/>
      <c r="I23" s="587"/>
      <c r="J23" s="588"/>
      <c r="K23" s="34"/>
      <c r="L23" s="116" t="s">
        <v>71</v>
      </c>
      <c r="M23" s="89"/>
      <c r="N23" s="427" t="e">
        <f>AG38</f>
        <v>#DIV/0!</v>
      </c>
      <c r="O23" s="136" t="e">
        <f t="shared" si="9"/>
        <v>#NUM!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 t="e">
        <f>SQRT(AF41)</f>
        <v>#DIV/0!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 t="e">
        <f t="shared" si="1"/>
        <v>#DIV/0!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/>
      <c r="E24" s="181"/>
      <c r="F24" s="51"/>
      <c r="G24" s="183"/>
      <c r="H24" s="181"/>
      <c r="I24" s="120"/>
      <c r="J24" s="121"/>
      <c r="K24" s="34"/>
      <c r="L24" s="117" t="s">
        <v>72</v>
      </c>
      <c r="M24" s="426"/>
      <c r="N24" s="427" t="e">
        <f t="shared" si="9"/>
        <v>#DIV/0!</v>
      </c>
      <c r="O24" s="136" t="e">
        <f t="shared" si="9"/>
        <v>#NUM!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 t="e">
        <f>AD22^2*AD23^2/(AD21^2*(AD15+AD16))</f>
        <v>#NUM!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/>
      <c r="E25" s="182"/>
      <c r="F25" s="185"/>
      <c r="G25" s="184"/>
      <c r="H25" s="182"/>
      <c r="I25" s="122"/>
      <c r="J25" s="123"/>
      <c r="K25" s="34"/>
      <c r="L25" s="429" t="s">
        <v>159</v>
      </c>
      <c r="M25" s="430"/>
      <c r="N25" s="428" t="e">
        <f>AD48/AD45</f>
        <v>#DIV/0!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 t="e">
        <f>(AD23^2/AD21^2)*((1/AD5+1/AD6)+(AD28-AD11+AD12)^2/(AD15+AD16))</f>
        <v>#DIV/0!</v>
      </c>
      <c r="AF26" s="359">
        <f>COUNTIF(AP26:AU26,"&gt;0")</f>
        <v>0</v>
      </c>
      <c r="AG26" s="360">
        <f t="shared" ref="AG26:AG32" si="10">SUM(AP26:AU26)</f>
        <v>0</v>
      </c>
      <c r="AH26" s="360">
        <f t="shared" ref="AH26:AH32" si="11">AF26*AW26</f>
        <v>0</v>
      </c>
      <c r="AI26" s="360" t="e">
        <f t="shared" ref="AI26:AI32" si="12">AF26*(AW26-$AD$12)^2</f>
        <v>#DIV/0!</v>
      </c>
      <c r="AJ26" s="360">
        <f t="shared" ref="AJ26:AJ32" si="13">IF(AF26=0,0,+AF26*(AG26/AF26-$AD$14)^2)</f>
        <v>0</v>
      </c>
      <c r="AK26" s="360">
        <f t="shared" ref="AK26:AK32" si="14">IF(AF26=0,0,+AF26*(AG26/AF26-$AD$14)*(AW26-$AD$12))</f>
        <v>0</v>
      </c>
      <c r="AL26" s="361">
        <f t="shared" ref="AL26:AL32" si="15">AP26^2+AQ26^2+AR26^2+AS26^2+AT26^2+AU26^2</f>
        <v>0</v>
      </c>
      <c r="AN26" s="423" t="s">
        <v>143</v>
      </c>
      <c r="AO26" s="335"/>
      <c r="AP26" s="336"/>
      <c r="AQ26" s="336"/>
      <c r="AR26" s="336"/>
      <c r="AS26" s="336"/>
      <c r="AT26" s="336"/>
      <c r="AU26" s="336"/>
      <c r="AV26" s="337" t="str">
        <f t="shared" ref="AV26:AV32" si="16">IF(AO26&gt;0,AW26*$AD$48+$AD$49,"")</f>
        <v/>
      </c>
      <c r="AW26" s="336" t="str">
        <f t="shared" ref="AW26:AW32" si="17">IF(AO26&gt;0,LOG(AO26),"")</f>
        <v/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 t="e">
        <f>(AD23*AD22/AD21)*SQRT((1-AD24)*(1/AD6+1/AD5)+(AD28-AD11+AD12)^2/(AD15+AD16))</f>
        <v>#DIV/0!</v>
      </c>
      <c r="AF27" s="339">
        <f t="shared" ref="AF27:AF32" si="18">COUNTIF(AP27:AU27,"&gt;0")</f>
        <v>0</v>
      </c>
      <c r="AG27" s="348">
        <f t="shared" si="10"/>
        <v>0</v>
      </c>
      <c r="AH27" s="348">
        <f t="shared" si="11"/>
        <v>0</v>
      </c>
      <c r="AI27" s="348" t="e">
        <f t="shared" si="12"/>
        <v>#DIV/0!</v>
      </c>
      <c r="AJ27" s="348">
        <f t="shared" si="13"/>
        <v>0</v>
      </c>
      <c r="AK27" s="348">
        <f t="shared" si="14"/>
        <v>0</v>
      </c>
      <c r="AL27" s="349">
        <f t="shared" si="15"/>
        <v>0</v>
      </c>
      <c r="AN27" s="125"/>
      <c r="AO27" s="335"/>
      <c r="AP27" s="336"/>
      <c r="AQ27" s="336"/>
      <c r="AR27" s="336"/>
      <c r="AS27" s="336"/>
      <c r="AT27" s="336"/>
      <c r="AU27" s="336"/>
      <c r="AV27" s="337" t="str">
        <f t="shared" si="16"/>
        <v/>
      </c>
      <c r="AW27" s="336" t="str">
        <f t="shared" si="17"/>
        <v/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 t="e">
        <f>$AD$11-$AD$12-(AD13-AD14)/AD21</f>
        <v>#DIV/0!</v>
      </c>
      <c r="AF28" s="339">
        <f t="shared" si="18"/>
        <v>0</v>
      </c>
      <c r="AG28" s="348">
        <f t="shared" si="10"/>
        <v>0</v>
      </c>
      <c r="AH28" s="348">
        <f t="shared" si="11"/>
        <v>0</v>
      </c>
      <c r="AI28" s="348" t="e">
        <f t="shared" si="12"/>
        <v>#DIV/0!</v>
      </c>
      <c r="AJ28" s="348">
        <f t="shared" si="13"/>
        <v>0</v>
      </c>
      <c r="AK28" s="348">
        <f t="shared" si="14"/>
        <v>0</v>
      </c>
      <c r="AL28" s="349">
        <f t="shared" si="15"/>
        <v>0</v>
      </c>
      <c r="AN28" s="125"/>
      <c r="AO28" s="335"/>
      <c r="AP28" s="336"/>
      <c r="AQ28" s="336"/>
      <c r="AR28" s="336"/>
      <c r="AS28" s="336"/>
      <c r="AT28" s="336"/>
      <c r="AU28" s="336"/>
      <c r="AV28" s="337" t="str">
        <f t="shared" si="16"/>
        <v/>
      </c>
      <c r="AW28" s="336" t="str">
        <f t="shared" si="17"/>
        <v/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 t="e">
        <f>$AD$11-$AD$12+($AD$28-$AD$11+$AD$12+$AD$27)/(1-$AD$24)</f>
        <v>#DIV/0!</v>
      </c>
      <c r="AF29" s="339">
        <f t="shared" si="18"/>
        <v>0</v>
      </c>
      <c r="AG29" s="348">
        <f t="shared" si="10"/>
        <v>0</v>
      </c>
      <c r="AH29" s="348">
        <f t="shared" si="11"/>
        <v>0</v>
      </c>
      <c r="AI29" s="348" t="e">
        <f t="shared" si="12"/>
        <v>#DIV/0!</v>
      </c>
      <c r="AJ29" s="348">
        <f t="shared" si="13"/>
        <v>0</v>
      </c>
      <c r="AK29" s="348">
        <f t="shared" si="14"/>
        <v>0</v>
      </c>
      <c r="AL29" s="349">
        <f t="shared" si="15"/>
        <v>0</v>
      </c>
      <c r="AN29" s="125"/>
      <c r="AO29" s="335"/>
      <c r="AP29" s="336"/>
      <c r="AQ29" s="336"/>
      <c r="AR29" s="336"/>
      <c r="AS29" s="336"/>
      <c r="AT29" s="336"/>
      <c r="AU29" s="336"/>
      <c r="AV29" s="337" t="str">
        <f t="shared" si="16"/>
        <v/>
      </c>
      <c r="AW29" s="336" t="str">
        <f t="shared" si="17"/>
        <v/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 t="e">
        <f>$AD$11-$AD$12+($AD$28-$AD$11+$AD$12-$AD$27)/(1-$AD$24)</f>
        <v>#DIV/0!</v>
      </c>
      <c r="AF30" s="339">
        <f t="shared" si="18"/>
        <v>0</v>
      </c>
      <c r="AG30" s="348">
        <f t="shared" si="10"/>
        <v>0</v>
      </c>
      <c r="AH30" s="348">
        <f t="shared" si="11"/>
        <v>0</v>
      </c>
      <c r="AI30" s="348" t="e">
        <f t="shared" si="12"/>
        <v>#DIV/0!</v>
      </c>
      <c r="AJ30" s="348">
        <f t="shared" si="13"/>
        <v>0</v>
      </c>
      <c r="AK30" s="348">
        <f t="shared" si="14"/>
        <v>0</v>
      </c>
      <c r="AL30" s="349">
        <f t="shared" si="15"/>
        <v>0</v>
      </c>
      <c r="AN30" s="125"/>
      <c r="AO30" s="335"/>
      <c r="AP30" s="336"/>
      <c r="AQ30" s="336"/>
      <c r="AR30" s="336"/>
      <c r="AS30" s="336"/>
      <c r="AT30" s="336"/>
      <c r="AU30" s="336"/>
      <c r="AV30" s="337" t="str">
        <f t="shared" si="16"/>
        <v/>
      </c>
      <c r="AW30" s="336" t="str">
        <f t="shared" si="17"/>
        <v/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0</v>
      </c>
      <c r="AG31" s="348">
        <f t="shared" si="10"/>
        <v>0</v>
      </c>
      <c r="AH31" s="348">
        <f t="shared" si="11"/>
        <v>0</v>
      </c>
      <c r="AI31" s="348" t="e">
        <f t="shared" si="12"/>
        <v>#DIV/0!</v>
      </c>
      <c r="AJ31" s="348">
        <f t="shared" si="13"/>
        <v>0</v>
      </c>
      <c r="AK31" s="348">
        <f t="shared" si="14"/>
        <v>0</v>
      </c>
      <c r="AL31" s="349">
        <f t="shared" si="15"/>
        <v>0</v>
      </c>
      <c r="AN31" s="125"/>
      <c r="AO31" s="335"/>
      <c r="AP31" s="336"/>
      <c r="AQ31" s="336"/>
      <c r="AR31" s="336"/>
      <c r="AS31" s="336"/>
      <c r="AT31" s="336"/>
      <c r="AU31" s="336"/>
      <c r="AV31" s="337" t="str">
        <f t="shared" si="16"/>
        <v/>
      </c>
      <c r="AW31" s="336" t="str">
        <f t="shared" si="17"/>
        <v/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 t="e">
        <f t="shared" si="12"/>
        <v>#DIV/0!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 t="e">
        <f>AD7^2/AD5+AD8^2/AD6-(AD7+AD8)^2/(AD5+AD6)</f>
        <v>#DIV/0!</v>
      </c>
      <c r="AE35" s="387">
        <v>1</v>
      </c>
      <c r="AF35" s="388" t="e">
        <f>AD35</f>
        <v>#DIV/0!</v>
      </c>
      <c r="AG35" s="389" t="e">
        <f>AF35/$AF$41</f>
        <v>#DIV/0!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 t="e">
        <f>(AD17+AD18)^2/(AD15+AD16)</f>
        <v>#DIV/0!</v>
      </c>
      <c r="AE36" s="387">
        <v>1</v>
      </c>
      <c r="AF36" s="388" t="e">
        <f>AD36</f>
        <v>#DIV/0!</v>
      </c>
      <c r="AG36" s="389" t="e">
        <f>AF36/$AF$41</f>
        <v>#DIV/0!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 t="e">
        <f>(AD17)^2/AD15+AD18^2/AD16-(AD17+AD18)^2/(AD15+AD16)</f>
        <v>#DIV/0!</v>
      </c>
      <c r="AE37" s="387">
        <v>1</v>
      </c>
      <c r="AF37" s="388" t="e">
        <f>AD37</f>
        <v>#DIV/0!</v>
      </c>
      <c r="AG37" s="391" t="e">
        <f>AF37/$AF$41</f>
        <v>#DIV/0!</v>
      </c>
      <c r="AH37" s="392" t="e">
        <f>FINV(0.05,AE37,AE$41)</f>
        <v>#NUM!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 t="e">
        <f>AD19-AD17^2/AD15</f>
        <v>#DIV/0!</v>
      </c>
      <c r="AE38" s="406">
        <f>AD3-2</f>
        <v>-2</v>
      </c>
      <c r="AF38" s="407" t="e">
        <f>AD38/AE38</f>
        <v>#DIV/0!</v>
      </c>
      <c r="AG38" s="408" t="e">
        <f>AF38/$AF$41</f>
        <v>#DIV/0!</v>
      </c>
      <c r="AH38" s="409" t="e">
        <f>FINV(0.05,AE38,AE$41)</f>
        <v>#NUM!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 t="e">
        <f>AD20-AD18^2/AD16</f>
        <v>#DIV/0!</v>
      </c>
      <c r="AE39" s="410">
        <f>AD4-2</f>
        <v>-2</v>
      </c>
      <c r="AF39" s="411" t="e">
        <f>AD39/AE39</f>
        <v>#DIV/0!</v>
      </c>
      <c r="AG39" s="412" t="e">
        <f>AF39/$AF$41</f>
        <v>#DIV/0!</v>
      </c>
      <c r="AH39" s="413" t="e">
        <f>FINV(0.05,AE39,AE$41)</f>
        <v>#NUM!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 t="e">
        <f>AD43-AD35-AD36-AD37-AD38-AD39</f>
        <v>#DIV/0!</v>
      </c>
      <c r="AE41" s="387">
        <f>AE43-AE35-AE36-AE37-AE38-AE39</f>
        <v>0</v>
      </c>
      <c r="AF41" s="388" t="e">
        <f>AD41/AE41</f>
        <v>#DIV/0!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 t="e">
        <f>SUM(AL17:AL32)-(AD7+AD8)^2/(AD5+AD6)</f>
        <v>#DIV/0!</v>
      </c>
      <c r="AE43" s="398">
        <f>(AD6+AD5)-1</f>
        <v>-1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 t="e">
        <f>AD17/AD15</f>
        <v>#DIV/0!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 t="e">
        <f>AD13-AD45*AD11</f>
        <v>#DIV/0!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 t="e">
        <f>AD18/AD16</f>
        <v>#DIV/0!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 t="e">
        <f>AD14-AD48*AD12</f>
        <v>#DIV/0!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 t="e">
        <f>10^AD28</f>
        <v>#DIV/0!</v>
      </c>
      <c r="AD53" s="419" t="e">
        <f>10^AD30</f>
        <v>#DIV/0!</v>
      </c>
      <c r="AE53" s="420" t="e">
        <f>10^AD29</f>
        <v>#DIV/0!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 t="e">
        <f>$AD$53*$N$19</f>
        <v>#DIV/0!</v>
      </c>
      <c r="AE54" s="179" t="e">
        <f>$AE$53*$N$19</f>
        <v>#DIV/0!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 t="e">
        <f>(AD53-AC53)/AC53</f>
        <v>#DIV/0!</v>
      </c>
      <c r="AE55" s="422" t="e">
        <f>(AE53-AC53)/AC53</f>
        <v>#DIV/0!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80" priority="7" stopIfTrue="1" operator="greaterThan">
      <formula>$O$22</formula>
    </cfRule>
    <cfRule type="cellIs" dxfId="79" priority="8" stopIfTrue="1" operator="notBetween">
      <formula>0.9</formula>
      <formula>1.1</formula>
    </cfRule>
    <cfRule type="cellIs" dxfId="78" priority="9" stopIfTrue="1" operator="between">
      <formula>0.9</formula>
      <formula>1.1</formula>
    </cfRule>
  </conditionalFormatting>
  <conditionalFormatting sqref="N22">
    <cfRule type="cellIs" dxfId="77" priority="5" stopIfTrue="1" operator="lessThanOrEqual">
      <formula>$O$22</formula>
    </cfRule>
    <cfRule type="cellIs" dxfId="76" priority="6" stopIfTrue="1" operator="greaterThan">
      <formula>$O$22</formula>
    </cfRule>
  </conditionalFormatting>
  <conditionalFormatting sqref="N23">
    <cfRule type="cellIs" dxfId="75" priority="3" stopIfTrue="1" operator="lessThanOrEqual">
      <formula>$O$23</formula>
    </cfRule>
    <cfRule type="cellIs" dxfId="74" priority="4" stopIfTrue="1" operator="greaterThan">
      <formula>$O$23</formula>
    </cfRule>
  </conditionalFormatting>
  <conditionalFormatting sqref="N24">
    <cfRule type="cellIs" dxfId="73" priority="1" stopIfTrue="1" operator="greaterThan">
      <formula>$O$24</formula>
    </cfRule>
    <cfRule type="cellIs" dxfId="72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15362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15362" r:id="rId4" name="RecalcSample1"/>
      </mc:Fallback>
    </mc:AlternateContent>
    <mc:AlternateContent xmlns:mc="http://schemas.openxmlformats.org/markup-compatibility/2006">
      <mc:Choice Requires="x14">
        <control shapeId="15361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15361" r:id="rId6" name="DixonButtonSample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10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0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0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0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0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0</v>
      </c>
    </row>
    <row r="8" spans="1:49" ht="12.75" customHeight="1" x14ac:dyDescent="0.2">
      <c r="A8" s="27"/>
      <c r="B8" s="55"/>
      <c r="C8" s="49">
        <v>1</v>
      </c>
      <c r="D8" s="563"/>
      <c r="E8" s="265"/>
      <c r="F8" s="265"/>
      <c r="G8" s="265"/>
      <c r="H8" s="265"/>
      <c r="I8" s="265"/>
      <c r="J8" s="265"/>
      <c r="K8" s="148"/>
      <c r="L8" s="29">
        <v>1</v>
      </c>
      <c r="M8" s="563"/>
      <c r="N8" s="265"/>
      <c r="O8" s="265"/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0</v>
      </c>
    </row>
    <row r="9" spans="1:49" ht="12.75" customHeight="1" x14ac:dyDescent="0.2">
      <c r="A9" s="27"/>
      <c r="B9" s="55"/>
      <c r="C9" s="49">
        <v>2</v>
      </c>
      <c r="D9" s="563"/>
      <c r="E9" s="265"/>
      <c r="F9" s="265"/>
      <c r="G9" s="265"/>
      <c r="H9" s="265"/>
      <c r="I9" s="265"/>
      <c r="J9" s="265"/>
      <c r="K9" s="148"/>
      <c r="L9" s="29">
        <v>2</v>
      </c>
      <c r="M9" s="563"/>
      <c r="N9" s="265"/>
      <c r="O9" s="265"/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0</v>
      </c>
    </row>
    <row r="10" spans="1:49" ht="12.75" customHeight="1" x14ac:dyDescent="0.2">
      <c r="A10" s="27"/>
      <c r="B10" s="55"/>
      <c r="C10" s="49">
        <v>3</v>
      </c>
      <c r="D10" s="563"/>
      <c r="E10" s="265"/>
      <c r="F10" s="265"/>
      <c r="G10" s="265"/>
      <c r="H10" s="265"/>
      <c r="I10" s="265"/>
      <c r="J10" s="265"/>
      <c r="K10" s="148"/>
      <c r="L10" s="29">
        <v>3</v>
      </c>
      <c r="M10" s="563"/>
      <c r="N10" s="265"/>
      <c r="O10" s="265"/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0</v>
      </c>
    </row>
    <row r="11" spans="1:49" ht="12.75" customHeight="1" x14ac:dyDescent="0.2">
      <c r="A11" s="27"/>
      <c r="B11" s="55"/>
      <c r="C11" s="49">
        <v>4</v>
      </c>
      <c r="D11" s="563"/>
      <c r="E11" s="265"/>
      <c r="F11" s="265"/>
      <c r="G11" s="265"/>
      <c r="H11" s="265"/>
      <c r="I11" s="265"/>
      <c r="J11" s="265"/>
      <c r="K11" s="148"/>
      <c r="L11" s="29">
        <v>4</v>
      </c>
      <c r="M11" s="563"/>
      <c r="N11" s="265"/>
      <c r="O11" s="265"/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 t="e">
        <f>AD9/AD5</f>
        <v>#DIV/0!</v>
      </c>
    </row>
    <row r="12" spans="1:49" ht="12.75" customHeight="1" x14ac:dyDescent="0.2">
      <c r="A12" s="27"/>
      <c r="B12" s="55"/>
      <c r="C12" s="49">
        <v>5</v>
      </c>
      <c r="D12" s="563"/>
      <c r="E12" s="265"/>
      <c r="F12" s="265"/>
      <c r="G12" s="265"/>
      <c r="H12" s="265"/>
      <c r="I12" s="265"/>
      <c r="J12" s="265"/>
      <c r="K12" s="148"/>
      <c r="L12" s="29">
        <v>5</v>
      </c>
      <c r="M12" s="563"/>
      <c r="N12" s="265"/>
      <c r="O12" s="265"/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 t="e">
        <f>AD10/AD6</f>
        <v>#DIV/0!</v>
      </c>
    </row>
    <row r="13" spans="1:49" ht="12.75" customHeight="1" x14ac:dyDescent="0.2">
      <c r="A13" s="27"/>
      <c r="B13" s="55"/>
      <c r="C13" s="49">
        <v>6</v>
      </c>
      <c r="D13" s="563"/>
      <c r="E13" s="266"/>
      <c r="F13" s="266"/>
      <c r="G13" s="266"/>
      <c r="H13" s="266"/>
      <c r="I13" s="265"/>
      <c r="J13" s="265"/>
      <c r="K13" s="267"/>
      <c r="L13" s="29">
        <v>6</v>
      </c>
      <c r="M13" s="563"/>
      <c r="N13" s="266"/>
      <c r="O13" s="266"/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 t="e">
        <f>AD7/AD5</f>
        <v>#DIV/0!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 t="e">
        <f>AD8/AD6</f>
        <v>#DIV/0!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 t="e">
        <f>SUM(AI17:AI23)</f>
        <v>#DIV/0!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 t="e">
        <f>SUM(AI26:AI32)</f>
        <v>#DIV/0!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0</v>
      </c>
      <c r="AF17" s="353">
        <f>COUNTIF(AP17:AU17,"&gt;0")</f>
        <v>0</v>
      </c>
      <c r="AG17" s="354">
        <f>SUM(AP17:AU17)</f>
        <v>0</v>
      </c>
      <c r="AH17" s="354">
        <f t="shared" ref="AH17:AH23" si="0">AF17*AW17</f>
        <v>0</v>
      </c>
      <c r="AI17" s="354" t="e">
        <f t="shared" ref="AI17:AI23" si="1">AF17*(AW17-$AD$11)^2</f>
        <v>#DIV/0!</v>
      </c>
      <c r="AJ17" s="354">
        <f t="shared" ref="AJ17:AJ23" si="2">IF(AF17=0,0,+AF17*(AG17/AF17-$AD$13)^2)</f>
        <v>0</v>
      </c>
      <c r="AK17" s="354">
        <f t="shared" ref="AK17:AK23" si="3">IF(AF17=0,0,+AF17*(AG17/AF17-$AD$13)*(AW17-$AD$11))</f>
        <v>0</v>
      </c>
      <c r="AL17" s="355">
        <f>AP17^2+AQ17^2+AR17^2+AS17^2+AT17^2+AU17^2</f>
        <v>0</v>
      </c>
      <c r="AN17" s="13" t="s">
        <v>53</v>
      </c>
      <c r="AO17" s="331"/>
      <c r="AP17" s="331"/>
      <c r="AQ17" s="331"/>
      <c r="AR17" s="331"/>
      <c r="AS17" s="331"/>
      <c r="AT17" s="331"/>
      <c r="AU17" s="331"/>
      <c r="AV17" s="332" t="str">
        <f t="shared" ref="AV17:AV23" si="4">IF(AO17&gt;0,AW17*$AD$45+$AD$46,"")</f>
        <v/>
      </c>
      <c r="AW17" s="331" t="str">
        <f t="shared" ref="AW17:AW23" si="5">IF(AO17&gt;0,LOG(AO17),"")</f>
        <v/>
      </c>
    </row>
    <row r="18" spans="1:49" ht="12.75" customHeight="1" x14ac:dyDescent="0.2">
      <c r="A18" s="27"/>
      <c r="B18" s="55"/>
      <c r="C18" s="46"/>
      <c r="D18" s="187" t="s">
        <v>106</v>
      </c>
      <c r="E18" s="45"/>
      <c r="F18" s="73"/>
      <c r="G18" s="73"/>
      <c r="H18" s="73"/>
      <c r="I18" s="73"/>
      <c r="J18" s="44"/>
      <c r="K18" s="34"/>
      <c r="L18" s="273"/>
      <c r="M18" s="284" t="s">
        <v>128</v>
      </c>
      <c r="N18" s="274"/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0</v>
      </c>
      <c r="AF18" s="340">
        <f t="shared" ref="AF18:AF23" si="6">COUNTIF(AP18:AU18,"&gt;0")</f>
        <v>0</v>
      </c>
      <c r="AG18" s="343">
        <f t="shared" ref="AG18:AG23" si="7">SUM(AP18:AU18)</f>
        <v>0</v>
      </c>
      <c r="AH18" s="343">
        <f t="shared" si="0"/>
        <v>0</v>
      </c>
      <c r="AI18" s="343" t="e">
        <f t="shared" si="1"/>
        <v>#DIV/0!</v>
      </c>
      <c r="AJ18" s="343">
        <f t="shared" si="2"/>
        <v>0</v>
      </c>
      <c r="AK18" s="343">
        <f t="shared" si="3"/>
        <v>0</v>
      </c>
      <c r="AL18" s="344">
        <f t="shared" ref="AL18:AL23" si="8">AP18^2+AQ18^2+AR18^2+AS18^2+AT18^2+AU18^2</f>
        <v>0</v>
      </c>
      <c r="AN18" s="124"/>
      <c r="AO18" s="331"/>
      <c r="AP18" s="331"/>
      <c r="AQ18" s="331"/>
      <c r="AR18" s="331"/>
      <c r="AS18" s="331"/>
      <c r="AT18" s="331"/>
      <c r="AU18" s="331"/>
      <c r="AV18" s="332" t="str">
        <f t="shared" si="4"/>
        <v/>
      </c>
      <c r="AW18" s="331" t="str">
        <f t="shared" si="5"/>
        <v/>
      </c>
    </row>
    <row r="19" spans="1:49" ht="12.75" customHeight="1" x14ac:dyDescent="0.2">
      <c r="A19" s="27"/>
      <c r="B19" s="55"/>
      <c r="C19" s="172"/>
      <c r="D19" s="186" t="s">
        <v>107</v>
      </c>
      <c r="E19" s="490" t="e">
        <f>AC53*N19</f>
        <v>#DIV/0!</v>
      </c>
      <c r="F19" s="74">
        <f>O19</f>
        <v>0</v>
      </c>
      <c r="G19" s="74"/>
      <c r="H19" s="74"/>
      <c r="I19" s="74"/>
      <c r="J19" s="75"/>
      <c r="K19" s="34"/>
      <c r="L19" s="278"/>
      <c r="M19" s="285" t="s">
        <v>129</v>
      </c>
      <c r="N19" s="269"/>
      <c r="O19" s="269"/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0</v>
      </c>
      <c r="AF19" s="340">
        <f t="shared" si="6"/>
        <v>0</v>
      </c>
      <c r="AG19" s="343">
        <f t="shared" si="7"/>
        <v>0</v>
      </c>
      <c r="AH19" s="343">
        <f t="shared" si="0"/>
        <v>0</v>
      </c>
      <c r="AI19" s="343" t="e">
        <f t="shared" si="1"/>
        <v>#DIV/0!</v>
      </c>
      <c r="AJ19" s="343">
        <f t="shared" si="2"/>
        <v>0</v>
      </c>
      <c r="AK19" s="343">
        <f t="shared" si="3"/>
        <v>0</v>
      </c>
      <c r="AL19" s="344">
        <f t="shared" si="8"/>
        <v>0</v>
      </c>
      <c r="AN19" s="124"/>
      <c r="AO19" s="331"/>
      <c r="AP19" s="331"/>
      <c r="AQ19" s="331"/>
      <c r="AR19" s="331"/>
      <c r="AS19" s="331"/>
      <c r="AT19" s="331"/>
      <c r="AU19" s="331"/>
      <c r="AV19" s="332" t="str">
        <f t="shared" si="4"/>
        <v/>
      </c>
      <c r="AW19" s="331" t="str">
        <f t="shared" si="5"/>
        <v/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e">
        <f>"("&amp;TEXT(MIN(AD54:AE54),"0.#0")&amp;" - "&amp;TEXT(MAX(AD54:AE54),"0.#0) ")&amp;"= +/-"</f>
        <v>#VALUE!</v>
      </c>
      <c r="F20" s="491"/>
      <c r="G20" s="131" t="e">
        <f>ABS((AD54-AE54)/(2*E19))</f>
        <v>#DIV/0!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0</v>
      </c>
      <c r="AF20" s="340">
        <f t="shared" si="6"/>
        <v>0</v>
      </c>
      <c r="AG20" s="343">
        <f t="shared" si="7"/>
        <v>0</v>
      </c>
      <c r="AH20" s="343">
        <f t="shared" si="0"/>
        <v>0</v>
      </c>
      <c r="AI20" s="343" t="e">
        <f t="shared" si="1"/>
        <v>#DIV/0!</v>
      </c>
      <c r="AJ20" s="343">
        <f t="shared" si="2"/>
        <v>0</v>
      </c>
      <c r="AK20" s="343">
        <f t="shared" si="3"/>
        <v>0</v>
      </c>
      <c r="AL20" s="344">
        <f t="shared" si="8"/>
        <v>0</v>
      </c>
      <c r="AN20" s="124"/>
      <c r="AO20" s="331"/>
      <c r="AP20" s="331"/>
      <c r="AQ20" s="331"/>
      <c r="AR20" s="331"/>
      <c r="AS20" s="331"/>
      <c r="AT20" s="331"/>
      <c r="AU20" s="331"/>
      <c r="AV20" s="332" t="str">
        <f t="shared" si="4"/>
        <v/>
      </c>
      <c r="AW20" s="331" t="str">
        <f t="shared" si="5"/>
        <v/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 t="e">
        <f>(AD17+AD18)/(AD15+AD16)</f>
        <v>#DIV/0!</v>
      </c>
      <c r="AF21" s="340">
        <f t="shared" si="6"/>
        <v>0</v>
      </c>
      <c r="AG21" s="343">
        <f t="shared" si="7"/>
        <v>0</v>
      </c>
      <c r="AH21" s="343">
        <f t="shared" si="0"/>
        <v>0</v>
      </c>
      <c r="AI21" s="343" t="e">
        <f t="shared" si="1"/>
        <v>#DIV/0!</v>
      </c>
      <c r="AJ21" s="343">
        <f t="shared" si="2"/>
        <v>0</v>
      </c>
      <c r="AK21" s="343">
        <f t="shared" si="3"/>
        <v>0</v>
      </c>
      <c r="AL21" s="344">
        <f t="shared" si="8"/>
        <v>0</v>
      </c>
      <c r="AN21" s="124"/>
      <c r="AO21" s="331"/>
      <c r="AP21" s="331"/>
      <c r="AQ21" s="331"/>
      <c r="AR21" s="331"/>
      <c r="AS21" s="331"/>
      <c r="AT21" s="331"/>
      <c r="AU21" s="331"/>
      <c r="AV21" s="332" t="str">
        <f t="shared" si="4"/>
        <v/>
      </c>
      <c r="AW21" s="331" t="str">
        <f t="shared" si="5"/>
        <v/>
      </c>
    </row>
    <row r="22" spans="1:49" ht="12.75" customHeight="1" x14ac:dyDescent="0.2">
      <c r="A22" s="27"/>
      <c r="B22" s="55"/>
      <c r="C22" s="43"/>
      <c r="D22" s="189" t="s">
        <v>105</v>
      </c>
      <c r="E22" s="589"/>
      <c r="F22" s="589"/>
      <c r="G22" s="118"/>
      <c r="H22" s="118"/>
      <c r="I22" s="118"/>
      <c r="J22" s="119"/>
      <c r="K22" s="34"/>
      <c r="L22" s="31" t="s">
        <v>46</v>
      </c>
      <c r="M22" s="425"/>
      <c r="N22" s="427" t="e">
        <f>AG37</f>
        <v>#DIV/0!</v>
      </c>
      <c r="O22" s="136" t="e">
        <f t="shared" ref="N22:O24" si="9">AH37</f>
        <v>#NUM!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 t="e">
        <f>TINV(0.05,AE41)</f>
        <v>#NUM!</v>
      </c>
      <c r="AF22" s="340">
        <f t="shared" si="6"/>
        <v>0</v>
      </c>
      <c r="AG22" s="343">
        <f t="shared" si="7"/>
        <v>0</v>
      </c>
      <c r="AH22" s="343">
        <f t="shared" si="0"/>
        <v>0</v>
      </c>
      <c r="AI22" s="343" t="e">
        <f t="shared" si="1"/>
        <v>#DIV/0!</v>
      </c>
      <c r="AJ22" s="343">
        <f t="shared" si="2"/>
        <v>0</v>
      </c>
      <c r="AK22" s="343">
        <f t="shared" si="3"/>
        <v>0</v>
      </c>
      <c r="AL22" s="344">
        <f t="shared" si="8"/>
        <v>0</v>
      </c>
      <c r="AN22" s="124"/>
      <c r="AO22" s="331"/>
      <c r="AP22" s="331"/>
      <c r="AQ22" s="331"/>
      <c r="AR22" s="331"/>
      <c r="AS22" s="331"/>
      <c r="AT22" s="331"/>
      <c r="AU22" s="331"/>
      <c r="AV22" s="332" t="str">
        <f t="shared" si="4"/>
        <v/>
      </c>
      <c r="AW22" s="331" t="str">
        <f t="shared" si="5"/>
        <v/>
      </c>
    </row>
    <row r="23" spans="1:49" ht="12.75" customHeight="1" x14ac:dyDescent="0.2">
      <c r="A23" s="27"/>
      <c r="B23" s="55"/>
      <c r="C23" s="77"/>
      <c r="D23" s="190" t="s">
        <v>104</v>
      </c>
      <c r="E23" s="586"/>
      <c r="F23" s="587"/>
      <c r="G23" s="587"/>
      <c r="H23" s="587"/>
      <c r="I23" s="587"/>
      <c r="J23" s="588"/>
      <c r="K23" s="34"/>
      <c r="L23" s="116" t="s">
        <v>71</v>
      </c>
      <c r="M23" s="89"/>
      <c r="N23" s="427" t="e">
        <f>AG38</f>
        <v>#DIV/0!</v>
      </c>
      <c r="O23" s="136" t="e">
        <f t="shared" si="9"/>
        <v>#NUM!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 t="e">
        <f>SQRT(AF41)</f>
        <v>#DIV/0!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 t="e">
        <f t="shared" si="1"/>
        <v>#DIV/0!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/>
      <c r="E24" s="181"/>
      <c r="F24" s="51"/>
      <c r="G24" s="183"/>
      <c r="H24" s="181"/>
      <c r="I24" s="120"/>
      <c r="J24" s="121"/>
      <c r="K24" s="34"/>
      <c r="L24" s="117" t="s">
        <v>72</v>
      </c>
      <c r="M24" s="426"/>
      <c r="N24" s="427" t="e">
        <f t="shared" si="9"/>
        <v>#DIV/0!</v>
      </c>
      <c r="O24" s="136" t="e">
        <f t="shared" si="9"/>
        <v>#NUM!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 t="e">
        <f>AD22^2*AD23^2/(AD21^2*(AD15+AD16))</f>
        <v>#NUM!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/>
      <c r="E25" s="182"/>
      <c r="F25" s="185"/>
      <c r="G25" s="184"/>
      <c r="H25" s="182"/>
      <c r="I25" s="122"/>
      <c r="J25" s="123"/>
      <c r="K25" s="34"/>
      <c r="L25" s="429" t="s">
        <v>159</v>
      </c>
      <c r="M25" s="430"/>
      <c r="N25" s="428" t="e">
        <f>AD48/AD45</f>
        <v>#DIV/0!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 t="e">
        <f>(AD23^2/AD21^2)*((1/AD5+1/AD6)+(AD28-AD11+AD12)^2/(AD15+AD16))</f>
        <v>#DIV/0!</v>
      </c>
      <c r="AF26" s="359">
        <f>COUNTIF(AP26:AU26,"&gt;0")</f>
        <v>0</v>
      </c>
      <c r="AG26" s="360">
        <f t="shared" ref="AG26:AG32" si="10">SUM(AP26:AU26)</f>
        <v>0</v>
      </c>
      <c r="AH26" s="360">
        <f t="shared" ref="AH26:AH32" si="11">AF26*AW26</f>
        <v>0</v>
      </c>
      <c r="AI26" s="360" t="e">
        <f t="shared" ref="AI26:AI32" si="12">AF26*(AW26-$AD$12)^2</f>
        <v>#DIV/0!</v>
      </c>
      <c r="AJ26" s="360">
        <f t="shared" ref="AJ26:AJ32" si="13">IF(AF26=0,0,+AF26*(AG26/AF26-$AD$14)^2)</f>
        <v>0</v>
      </c>
      <c r="AK26" s="360">
        <f t="shared" ref="AK26:AK32" si="14">IF(AF26=0,0,+AF26*(AG26/AF26-$AD$14)*(AW26-$AD$12))</f>
        <v>0</v>
      </c>
      <c r="AL26" s="361">
        <f t="shared" ref="AL26:AL32" si="15">AP26^2+AQ26^2+AR26^2+AS26^2+AT26^2+AU26^2</f>
        <v>0</v>
      </c>
      <c r="AN26" s="423" t="s">
        <v>143</v>
      </c>
      <c r="AO26" s="335"/>
      <c r="AP26" s="336"/>
      <c r="AQ26" s="336"/>
      <c r="AR26" s="336"/>
      <c r="AS26" s="336"/>
      <c r="AT26" s="336"/>
      <c r="AU26" s="336"/>
      <c r="AV26" s="337" t="str">
        <f t="shared" ref="AV26:AV32" si="16">IF(AO26&gt;0,AW26*$AD$48+$AD$49,"")</f>
        <v/>
      </c>
      <c r="AW26" s="336" t="str">
        <f t="shared" ref="AW26:AW32" si="17">IF(AO26&gt;0,LOG(AO26),"")</f>
        <v/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 t="e">
        <f>(AD23*AD22/AD21)*SQRT((1-AD24)*(1/AD6+1/AD5)+(AD28-AD11+AD12)^2/(AD15+AD16))</f>
        <v>#DIV/0!</v>
      </c>
      <c r="AF27" s="339">
        <f t="shared" ref="AF27:AF32" si="18">COUNTIF(AP27:AU27,"&gt;0")</f>
        <v>0</v>
      </c>
      <c r="AG27" s="348">
        <f t="shared" si="10"/>
        <v>0</v>
      </c>
      <c r="AH27" s="348">
        <f t="shared" si="11"/>
        <v>0</v>
      </c>
      <c r="AI27" s="348" t="e">
        <f t="shared" si="12"/>
        <v>#DIV/0!</v>
      </c>
      <c r="AJ27" s="348">
        <f t="shared" si="13"/>
        <v>0</v>
      </c>
      <c r="AK27" s="348">
        <f t="shared" si="14"/>
        <v>0</v>
      </c>
      <c r="AL27" s="349">
        <f t="shared" si="15"/>
        <v>0</v>
      </c>
      <c r="AN27" s="125"/>
      <c r="AO27" s="335"/>
      <c r="AP27" s="336"/>
      <c r="AQ27" s="336"/>
      <c r="AR27" s="336"/>
      <c r="AS27" s="336"/>
      <c r="AT27" s="336"/>
      <c r="AU27" s="336"/>
      <c r="AV27" s="337" t="str">
        <f t="shared" si="16"/>
        <v/>
      </c>
      <c r="AW27" s="336" t="str">
        <f t="shared" si="17"/>
        <v/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 t="e">
        <f>$AD$11-$AD$12-(AD13-AD14)/AD21</f>
        <v>#DIV/0!</v>
      </c>
      <c r="AF28" s="339">
        <f t="shared" si="18"/>
        <v>0</v>
      </c>
      <c r="AG28" s="348">
        <f t="shared" si="10"/>
        <v>0</v>
      </c>
      <c r="AH28" s="348">
        <f t="shared" si="11"/>
        <v>0</v>
      </c>
      <c r="AI28" s="348" t="e">
        <f t="shared" si="12"/>
        <v>#DIV/0!</v>
      </c>
      <c r="AJ28" s="348">
        <f t="shared" si="13"/>
        <v>0</v>
      </c>
      <c r="AK28" s="348">
        <f t="shared" si="14"/>
        <v>0</v>
      </c>
      <c r="AL28" s="349">
        <f t="shared" si="15"/>
        <v>0</v>
      </c>
      <c r="AN28" s="125"/>
      <c r="AO28" s="335"/>
      <c r="AP28" s="336"/>
      <c r="AQ28" s="336"/>
      <c r="AR28" s="336"/>
      <c r="AS28" s="336"/>
      <c r="AT28" s="336"/>
      <c r="AU28" s="336"/>
      <c r="AV28" s="337" t="str">
        <f t="shared" si="16"/>
        <v/>
      </c>
      <c r="AW28" s="336" t="str">
        <f t="shared" si="17"/>
        <v/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 t="e">
        <f>$AD$11-$AD$12+($AD$28-$AD$11+$AD$12+$AD$27)/(1-$AD$24)</f>
        <v>#DIV/0!</v>
      </c>
      <c r="AF29" s="339">
        <f t="shared" si="18"/>
        <v>0</v>
      </c>
      <c r="AG29" s="348">
        <f t="shared" si="10"/>
        <v>0</v>
      </c>
      <c r="AH29" s="348">
        <f t="shared" si="11"/>
        <v>0</v>
      </c>
      <c r="AI29" s="348" t="e">
        <f t="shared" si="12"/>
        <v>#DIV/0!</v>
      </c>
      <c r="AJ29" s="348">
        <f t="shared" si="13"/>
        <v>0</v>
      </c>
      <c r="AK29" s="348">
        <f t="shared" si="14"/>
        <v>0</v>
      </c>
      <c r="AL29" s="349">
        <f t="shared" si="15"/>
        <v>0</v>
      </c>
      <c r="AN29" s="125"/>
      <c r="AO29" s="335"/>
      <c r="AP29" s="336"/>
      <c r="AQ29" s="336"/>
      <c r="AR29" s="336"/>
      <c r="AS29" s="336"/>
      <c r="AT29" s="336"/>
      <c r="AU29" s="336"/>
      <c r="AV29" s="337" t="str">
        <f t="shared" si="16"/>
        <v/>
      </c>
      <c r="AW29" s="336" t="str">
        <f t="shared" si="17"/>
        <v/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 t="e">
        <f>$AD$11-$AD$12+($AD$28-$AD$11+$AD$12-$AD$27)/(1-$AD$24)</f>
        <v>#DIV/0!</v>
      </c>
      <c r="AF30" s="339">
        <f t="shared" si="18"/>
        <v>0</v>
      </c>
      <c r="AG30" s="348">
        <f t="shared" si="10"/>
        <v>0</v>
      </c>
      <c r="AH30" s="348">
        <f t="shared" si="11"/>
        <v>0</v>
      </c>
      <c r="AI30" s="348" t="e">
        <f t="shared" si="12"/>
        <v>#DIV/0!</v>
      </c>
      <c r="AJ30" s="348">
        <f t="shared" si="13"/>
        <v>0</v>
      </c>
      <c r="AK30" s="348">
        <f t="shared" si="14"/>
        <v>0</v>
      </c>
      <c r="AL30" s="349">
        <f t="shared" si="15"/>
        <v>0</v>
      </c>
      <c r="AN30" s="125"/>
      <c r="AO30" s="335"/>
      <c r="AP30" s="336"/>
      <c r="AQ30" s="336"/>
      <c r="AR30" s="336"/>
      <c r="AS30" s="336"/>
      <c r="AT30" s="336"/>
      <c r="AU30" s="336"/>
      <c r="AV30" s="337" t="str">
        <f t="shared" si="16"/>
        <v/>
      </c>
      <c r="AW30" s="336" t="str">
        <f t="shared" si="17"/>
        <v/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0</v>
      </c>
      <c r="AG31" s="348">
        <f t="shared" si="10"/>
        <v>0</v>
      </c>
      <c r="AH31" s="348">
        <f t="shared" si="11"/>
        <v>0</v>
      </c>
      <c r="AI31" s="348" t="e">
        <f t="shared" si="12"/>
        <v>#DIV/0!</v>
      </c>
      <c r="AJ31" s="348">
        <f t="shared" si="13"/>
        <v>0</v>
      </c>
      <c r="AK31" s="348">
        <f t="shared" si="14"/>
        <v>0</v>
      </c>
      <c r="AL31" s="349">
        <f t="shared" si="15"/>
        <v>0</v>
      </c>
      <c r="AN31" s="125"/>
      <c r="AO31" s="335"/>
      <c r="AP31" s="336"/>
      <c r="AQ31" s="336"/>
      <c r="AR31" s="336"/>
      <c r="AS31" s="336"/>
      <c r="AT31" s="336"/>
      <c r="AU31" s="336"/>
      <c r="AV31" s="337" t="str">
        <f t="shared" si="16"/>
        <v/>
      </c>
      <c r="AW31" s="336" t="str">
        <f t="shared" si="17"/>
        <v/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 t="e">
        <f t="shared" si="12"/>
        <v>#DIV/0!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 t="e">
        <f>AD7^2/AD5+AD8^2/AD6-(AD7+AD8)^2/(AD5+AD6)</f>
        <v>#DIV/0!</v>
      </c>
      <c r="AE35" s="387">
        <v>1</v>
      </c>
      <c r="AF35" s="388" t="e">
        <f>AD35</f>
        <v>#DIV/0!</v>
      </c>
      <c r="AG35" s="389" t="e">
        <f>AF35/$AF$41</f>
        <v>#DIV/0!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 t="e">
        <f>(AD17+AD18)^2/(AD15+AD16)</f>
        <v>#DIV/0!</v>
      </c>
      <c r="AE36" s="387">
        <v>1</v>
      </c>
      <c r="AF36" s="388" t="e">
        <f>AD36</f>
        <v>#DIV/0!</v>
      </c>
      <c r="AG36" s="389" t="e">
        <f>AF36/$AF$41</f>
        <v>#DIV/0!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 t="e">
        <f>(AD17)^2/AD15+AD18^2/AD16-(AD17+AD18)^2/(AD15+AD16)</f>
        <v>#DIV/0!</v>
      </c>
      <c r="AE37" s="387">
        <v>1</v>
      </c>
      <c r="AF37" s="388" t="e">
        <f>AD37</f>
        <v>#DIV/0!</v>
      </c>
      <c r="AG37" s="391" t="e">
        <f>AF37/$AF$41</f>
        <v>#DIV/0!</v>
      </c>
      <c r="AH37" s="392" t="e">
        <f>FINV(0.05,AE37,AE$41)</f>
        <v>#NUM!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 t="e">
        <f>AD19-AD17^2/AD15</f>
        <v>#DIV/0!</v>
      </c>
      <c r="AE38" s="406">
        <f>AD3-2</f>
        <v>-2</v>
      </c>
      <c r="AF38" s="407" t="e">
        <f>AD38/AE38</f>
        <v>#DIV/0!</v>
      </c>
      <c r="AG38" s="408" t="e">
        <f>AF38/$AF$41</f>
        <v>#DIV/0!</v>
      </c>
      <c r="AH38" s="409" t="e">
        <f>FINV(0.05,AE38,AE$41)</f>
        <v>#NUM!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 t="e">
        <f>AD20-AD18^2/AD16</f>
        <v>#DIV/0!</v>
      </c>
      <c r="AE39" s="410">
        <f>AD4-2</f>
        <v>-2</v>
      </c>
      <c r="AF39" s="411" t="e">
        <f>AD39/AE39</f>
        <v>#DIV/0!</v>
      </c>
      <c r="AG39" s="412" t="e">
        <f>AF39/$AF$41</f>
        <v>#DIV/0!</v>
      </c>
      <c r="AH39" s="413" t="e">
        <f>FINV(0.05,AE39,AE$41)</f>
        <v>#NUM!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 t="e">
        <f>AD43-AD35-AD36-AD37-AD38-AD39</f>
        <v>#DIV/0!</v>
      </c>
      <c r="AE41" s="387">
        <f>AE43-AE35-AE36-AE37-AE38-AE39</f>
        <v>0</v>
      </c>
      <c r="AF41" s="388" t="e">
        <f>AD41/AE41</f>
        <v>#DIV/0!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 t="e">
        <f>SUM(AL17:AL32)-(AD7+AD8)^2/(AD5+AD6)</f>
        <v>#DIV/0!</v>
      </c>
      <c r="AE43" s="398">
        <f>(AD6+AD5)-1</f>
        <v>-1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 t="e">
        <f>AD17/AD15</f>
        <v>#DIV/0!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 t="e">
        <f>AD13-AD45*AD11</f>
        <v>#DIV/0!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 t="e">
        <f>AD18/AD16</f>
        <v>#DIV/0!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 t="e">
        <f>AD14-AD48*AD12</f>
        <v>#DIV/0!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 t="e">
        <f>10^AD28</f>
        <v>#DIV/0!</v>
      </c>
      <c r="AD53" s="419" t="e">
        <f>10^AD30</f>
        <v>#DIV/0!</v>
      </c>
      <c r="AE53" s="420" t="e">
        <f>10^AD29</f>
        <v>#DIV/0!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 t="e">
        <f>$AD$53*$N$19</f>
        <v>#DIV/0!</v>
      </c>
      <c r="AE54" s="179" t="e">
        <f>$AE$53*$N$19</f>
        <v>#DIV/0!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 t="e">
        <f>(AD53-AC53)/AC53</f>
        <v>#DIV/0!</v>
      </c>
      <c r="AE55" s="422" t="e">
        <f>(AE53-AC53)/AC53</f>
        <v>#DIV/0!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71" priority="7" stopIfTrue="1" operator="greaterThan">
      <formula>$O$22</formula>
    </cfRule>
    <cfRule type="cellIs" dxfId="70" priority="8" stopIfTrue="1" operator="notBetween">
      <formula>0.9</formula>
      <formula>1.1</formula>
    </cfRule>
    <cfRule type="cellIs" dxfId="69" priority="9" stopIfTrue="1" operator="between">
      <formula>0.9</formula>
      <formula>1.1</formula>
    </cfRule>
  </conditionalFormatting>
  <conditionalFormatting sqref="N22">
    <cfRule type="cellIs" dxfId="68" priority="5" stopIfTrue="1" operator="lessThanOrEqual">
      <formula>$O$22</formula>
    </cfRule>
    <cfRule type="cellIs" dxfId="67" priority="6" stopIfTrue="1" operator="greaterThan">
      <formula>$O$22</formula>
    </cfRule>
  </conditionalFormatting>
  <conditionalFormatting sqref="N23">
    <cfRule type="cellIs" dxfId="66" priority="3" stopIfTrue="1" operator="lessThanOrEqual">
      <formula>$O$23</formula>
    </cfRule>
    <cfRule type="cellIs" dxfId="65" priority="4" stopIfTrue="1" operator="greaterThan">
      <formula>$O$23</formula>
    </cfRule>
  </conditionalFormatting>
  <conditionalFormatting sqref="N24">
    <cfRule type="cellIs" dxfId="64" priority="1" stopIfTrue="1" operator="greaterThan">
      <formula>$O$24</formula>
    </cfRule>
    <cfRule type="cellIs" dxfId="63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16386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16386" r:id="rId4" name="RecalcSample1"/>
      </mc:Fallback>
    </mc:AlternateContent>
    <mc:AlternateContent xmlns:mc="http://schemas.openxmlformats.org/markup-compatibility/2006">
      <mc:Choice Requires="x14">
        <control shapeId="16385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16385" r:id="rId6" name="DixonButtonSamp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11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0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0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0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0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0</v>
      </c>
    </row>
    <row r="8" spans="1:49" ht="12.75" customHeight="1" x14ac:dyDescent="0.2">
      <c r="A8" s="27"/>
      <c r="B8" s="55"/>
      <c r="C8" s="49">
        <v>1</v>
      </c>
      <c r="D8" s="563"/>
      <c r="E8" s="265"/>
      <c r="F8" s="265"/>
      <c r="G8" s="265"/>
      <c r="H8" s="265"/>
      <c r="I8" s="265"/>
      <c r="J8" s="265"/>
      <c r="K8" s="148"/>
      <c r="L8" s="29">
        <v>1</v>
      </c>
      <c r="M8" s="563"/>
      <c r="N8" s="265"/>
      <c r="O8" s="265"/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0</v>
      </c>
    </row>
    <row r="9" spans="1:49" ht="12.75" customHeight="1" x14ac:dyDescent="0.2">
      <c r="A9" s="27"/>
      <c r="B9" s="55"/>
      <c r="C9" s="49">
        <v>2</v>
      </c>
      <c r="D9" s="563"/>
      <c r="E9" s="265"/>
      <c r="F9" s="265"/>
      <c r="G9" s="265"/>
      <c r="H9" s="265"/>
      <c r="I9" s="265"/>
      <c r="J9" s="265"/>
      <c r="K9" s="148"/>
      <c r="L9" s="29">
        <v>2</v>
      </c>
      <c r="M9" s="563"/>
      <c r="N9" s="265"/>
      <c r="O9" s="265"/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0</v>
      </c>
    </row>
    <row r="10" spans="1:49" ht="12.75" customHeight="1" x14ac:dyDescent="0.2">
      <c r="A10" s="27"/>
      <c r="B10" s="55"/>
      <c r="C10" s="49">
        <v>3</v>
      </c>
      <c r="D10" s="563"/>
      <c r="E10" s="265"/>
      <c r="F10" s="265"/>
      <c r="G10" s="265"/>
      <c r="H10" s="265"/>
      <c r="I10" s="265"/>
      <c r="J10" s="265"/>
      <c r="K10" s="148"/>
      <c r="L10" s="29">
        <v>3</v>
      </c>
      <c r="M10" s="563"/>
      <c r="N10" s="265"/>
      <c r="O10" s="265"/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0</v>
      </c>
    </row>
    <row r="11" spans="1:49" ht="12.75" customHeight="1" x14ac:dyDescent="0.2">
      <c r="A11" s="27"/>
      <c r="B11" s="55"/>
      <c r="C11" s="49">
        <v>4</v>
      </c>
      <c r="D11" s="563"/>
      <c r="E11" s="265"/>
      <c r="F11" s="265"/>
      <c r="G11" s="265"/>
      <c r="H11" s="265"/>
      <c r="I11" s="265"/>
      <c r="J11" s="265"/>
      <c r="K11" s="148"/>
      <c r="L11" s="29">
        <v>4</v>
      </c>
      <c r="M11" s="563"/>
      <c r="N11" s="265"/>
      <c r="O11" s="265"/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 t="e">
        <f>AD9/AD5</f>
        <v>#DIV/0!</v>
      </c>
    </row>
    <row r="12" spans="1:49" ht="12.75" customHeight="1" x14ac:dyDescent="0.2">
      <c r="A12" s="27"/>
      <c r="B12" s="55"/>
      <c r="C12" s="49">
        <v>5</v>
      </c>
      <c r="D12" s="563"/>
      <c r="E12" s="265"/>
      <c r="F12" s="265"/>
      <c r="G12" s="265"/>
      <c r="H12" s="265"/>
      <c r="I12" s="265"/>
      <c r="J12" s="265"/>
      <c r="K12" s="148"/>
      <c r="L12" s="29">
        <v>5</v>
      </c>
      <c r="M12" s="563"/>
      <c r="N12" s="265"/>
      <c r="O12" s="265"/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 t="e">
        <f>AD10/AD6</f>
        <v>#DIV/0!</v>
      </c>
    </row>
    <row r="13" spans="1:49" ht="12.75" customHeight="1" x14ac:dyDescent="0.2">
      <c r="A13" s="27"/>
      <c r="B13" s="55"/>
      <c r="C13" s="49">
        <v>6</v>
      </c>
      <c r="D13" s="563"/>
      <c r="E13" s="266"/>
      <c r="F13" s="266"/>
      <c r="G13" s="266"/>
      <c r="H13" s="266"/>
      <c r="I13" s="265"/>
      <c r="J13" s="265"/>
      <c r="K13" s="267"/>
      <c r="L13" s="29">
        <v>6</v>
      </c>
      <c r="M13" s="563"/>
      <c r="N13" s="266"/>
      <c r="O13" s="266"/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 t="e">
        <f>AD7/AD5</f>
        <v>#DIV/0!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 t="e">
        <f>AD8/AD6</f>
        <v>#DIV/0!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 t="e">
        <f>SUM(AI17:AI23)</f>
        <v>#DIV/0!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 t="e">
        <f>SUM(AI26:AI32)</f>
        <v>#DIV/0!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0</v>
      </c>
      <c r="AF17" s="353">
        <f>COUNTIF(AP17:AU17,"&gt;0")</f>
        <v>0</v>
      </c>
      <c r="AG17" s="354">
        <f>SUM(AP17:AU17)</f>
        <v>0</v>
      </c>
      <c r="AH17" s="354">
        <f t="shared" ref="AH17:AH23" si="0">AF17*AW17</f>
        <v>0</v>
      </c>
      <c r="AI17" s="354" t="e">
        <f t="shared" ref="AI17:AI23" si="1">AF17*(AW17-$AD$11)^2</f>
        <v>#DIV/0!</v>
      </c>
      <c r="AJ17" s="354">
        <f t="shared" ref="AJ17:AJ23" si="2">IF(AF17=0,0,+AF17*(AG17/AF17-$AD$13)^2)</f>
        <v>0</v>
      </c>
      <c r="AK17" s="354">
        <f t="shared" ref="AK17:AK23" si="3">IF(AF17=0,0,+AF17*(AG17/AF17-$AD$13)*(AW17-$AD$11))</f>
        <v>0</v>
      </c>
      <c r="AL17" s="355">
        <f>AP17^2+AQ17^2+AR17^2+AS17^2+AT17^2+AU17^2</f>
        <v>0</v>
      </c>
      <c r="AN17" s="13" t="s">
        <v>53</v>
      </c>
      <c r="AO17" s="331"/>
      <c r="AP17" s="331"/>
      <c r="AQ17" s="331"/>
      <c r="AR17" s="331"/>
      <c r="AS17" s="331"/>
      <c r="AT17" s="331"/>
      <c r="AU17" s="331"/>
      <c r="AV17" s="332" t="str">
        <f t="shared" ref="AV17:AV23" si="4">IF(AO17&gt;0,AW17*$AD$45+$AD$46,"")</f>
        <v/>
      </c>
      <c r="AW17" s="331" t="str">
        <f t="shared" ref="AW17:AW23" si="5">IF(AO17&gt;0,LOG(AO17),"")</f>
        <v/>
      </c>
    </row>
    <row r="18" spans="1:49" ht="12.75" customHeight="1" x14ac:dyDescent="0.2">
      <c r="A18" s="27"/>
      <c r="B18" s="55"/>
      <c r="C18" s="46"/>
      <c r="D18" s="187" t="s">
        <v>106</v>
      </c>
      <c r="E18" s="45"/>
      <c r="F18" s="73"/>
      <c r="G18" s="73"/>
      <c r="H18" s="73"/>
      <c r="I18" s="73"/>
      <c r="J18" s="44"/>
      <c r="K18" s="34"/>
      <c r="L18" s="273"/>
      <c r="M18" s="284" t="s">
        <v>128</v>
      </c>
      <c r="N18" s="274"/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0</v>
      </c>
      <c r="AF18" s="340">
        <f t="shared" ref="AF18:AF23" si="6">COUNTIF(AP18:AU18,"&gt;0")</f>
        <v>0</v>
      </c>
      <c r="AG18" s="343">
        <f t="shared" ref="AG18:AG23" si="7">SUM(AP18:AU18)</f>
        <v>0</v>
      </c>
      <c r="AH18" s="343">
        <f t="shared" si="0"/>
        <v>0</v>
      </c>
      <c r="AI18" s="343" t="e">
        <f t="shared" si="1"/>
        <v>#DIV/0!</v>
      </c>
      <c r="AJ18" s="343">
        <f t="shared" si="2"/>
        <v>0</v>
      </c>
      <c r="AK18" s="343">
        <f t="shared" si="3"/>
        <v>0</v>
      </c>
      <c r="AL18" s="344">
        <f t="shared" ref="AL18:AL23" si="8">AP18^2+AQ18^2+AR18^2+AS18^2+AT18^2+AU18^2</f>
        <v>0</v>
      </c>
      <c r="AN18" s="124"/>
      <c r="AO18" s="331"/>
      <c r="AP18" s="331"/>
      <c r="AQ18" s="331"/>
      <c r="AR18" s="331"/>
      <c r="AS18" s="331"/>
      <c r="AT18" s="331"/>
      <c r="AU18" s="331"/>
      <c r="AV18" s="332" t="str">
        <f t="shared" si="4"/>
        <v/>
      </c>
      <c r="AW18" s="331" t="str">
        <f t="shared" si="5"/>
        <v/>
      </c>
    </row>
    <row r="19" spans="1:49" ht="12.75" customHeight="1" x14ac:dyDescent="0.2">
      <c r="A19" s="27"/>
      <c r="B19" s="55"/>
      <c r="C19" s="172"/>
      <c r="D19" s="186" t="s">
        <v>107</v>
      </c>
      <c r="E19" s="490" t="e">
        <f>AC53*N19</f>
        <v>#DIV/0!</v>
      </c>
      <c r="F19" s="74">
        <f>O19</f>
        <v>0</v>
      </c>
      <c r="G19" s="74"/>
      <c r="H19" s="74"/>
      <c r="I19" s="74"/>
      <c r="J19" s="75"/>
      <c r="K19" s="34"/>
      <c r="L19" s="278"/>
      <c r="M19" s="285" t="s">
        <v>129</v>
      </c>
      <c r="N19" s="269"/>
      <c r="O19" s="269"/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0</v>
      </c>
      <c r="AF19" s="340">
        <f t="shared" si="6"/>
        <v>0</v>
      </c>
      <c r="AG19" s="343">
        <f t="shared" si="7"/>
        <v>0</v>
      </c>
      <c r="AH19" s="343">
        <f t="shared" si="0"/>
        <v>0</v>
      </c>
      <c r="AI19" s="343" t="e">
        <f t="shared" si="1"/>
        <v>#DIV/0!</v>
      </c>
      <c r="AJ19" s="343">
        <f t="shared" si="2"/>
        <v>0</v>
      </c>
      <c r="AK19" s="343">
        <f t="shared" si="3"/>
        <v>0</v>
      </c>
      <c r="AL19" s="344">
        <f t="shared" si="8"/>
        <v>0</v>
      </c>
      <c r="AN19" s="124"/>
      <c r="AO19" s="331"/>
      <c r="AP19" s="331"/>
      <c r="AQ19" s="331"/>
      <c r="AR19" s="331"/>
      <c r="AS19" s="331"/>
      <c r="AT19" s="331"/>
      <c r="AU19" s="331"/>
      <c r="AV19" s="332" t="str">
        <f t="shared" si="4"/>
        <v/>
      </c>
      <c r="AW19" s="331" t="str">
        <f t="shared" si="5"/>
        <v/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e">
        <f>"("&amp;TEXT(MIN(AD54:AE54),"0.#0")&amp;" - "&amp;TEXT(MAX(AD54:AE54),"0.#0) ")&amp;"= +/-"</f>
        <v>#VALUE!</v>
      </c>
      <c r="F20" s="491"/>
      <c r="G20" s="131" t="e">
        <f>ABS((AD54-AE54)/(2*E19))</f>
        <v>#DIV/0!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0</v>
      </c>
      <c r="AF20" s="340">
        <f t="shared" si="6"/>
        <v>0</v>
      </c>
      <c r="AG20" s="343">
        <f t="shared" si="7"/>
        <v>0</v>
      </c>
      <c r="AH20" s="343">
        <f t="shared" si="0"/>
        <v>0</v>
      </c>
      <c r="AI20" s="343" t="e">
        <f t="shared" si="1"/>
        <v>#DIV/0!</v>
      </c>
      <c r="AJ20" s="343">
        <f t="shared" si="2"/>
        <v>0</v>
      </c>
      <c r="AK20" s="343">
        <f t="shared" si="3"/>
        <v>0</v>
      </c>
      <c r="AL20" s="344">
        <f t="shared" si="8"/>
        <v>0</v>
      </c>
      <c r="AN20" s="124"/>
      <c r="AO20" s="331"/>
      <c r="AP20" s="331"/>
      <c r="AQ20" s="331"/>
      <c r="AR20" s="331"/>
      <c r="AS20" s="331"/>
      <c r="AT20" s="331"/>
      <c r="AU20" s="331"/>
      <c r="AV20" s="332" t="str">
        <f t="shared" si="4"/>
        <v/>
      </c>
      <c r="AW20" s="331" t="str">
        <f t="shared" si="5"/>
        <v/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 t="e">
        <f>(AD17+AD18)/(AD15+AD16)</f>
        <v>#DIV/0!</v>
      </c>
      <c r="AF21" s="340">
        <f t="shared" si="6"/>
        <v>0</v>
      </c>
      <c r="AG21" s="343">
        <f t="shared" si="7"/>
        <v>0</v>
      </c>
      <c r="AH21" s="343">
        <f t="shared" si="0"/>
        <v>0</v>
      </c>
      <c r="AI21" s="343" t="e">
        <f t="shared" si="1"/>
        <v>#DIV/0!</v>
      </c>
      <c r="AJ21" s="343">
        <f t="shared" si="2"/>
        <v>0</v>
      </c>
      <c r="AK21" s="343">
        <f t="shared" si="3"/>
        <v>0</v>
      </c>
      <c r="AL21" s="344">
        <f t="shared" si="8"/>
        <v>0</v>
      </c>
      <c r="AN21" s="124"/>
      <c r="AO21" s="331"/>
      <c r="AP21" s="331"/>
      <c r="AQ21" s="331"/>
      <c r="AR21" s="331"/>
      <c r="AS21" s="331"/>
      <c r="AT21" s="331"/>
      <c r="AU21" s="331"/>
      <c r="AV21" s="332" t="str">
        <f t="shared" si="4"/>
        <v/>
      </c>
      <c r="AW21" s="331" t="str">
        <f t="shared" si="5"/>
        <v/>
      </c>
    </row>
    <row r="22" spans="1:49" ht="12.75" customHeight="1" x14ac:dyDescent="0.2">
      <c r="A22" s="27"/>
      <c r="B22" s="55"/>
      <c r="C22" s="43"/>
      <c r="D22" s="189" t="s">
        <v>105</v>
      </c>
      <c r="E22" s="589"/>
      <c r="F22" s="589"/>
      <c r="G22" s="118"/>
      <c r="H22" s="118"/>
      <c r="I22" s="118"/>
      <c r="J22" s="119"/>
      <c r="K22" s="34"/>
      <c r="L22" s="31" t="s">
        <v>46</v>
      </c>
      <c r="M22" s="425"/>
      <c r="N22" s="427" t="e">
        <f>AG37</f>
        <v>#DIV/0!</v>
      </c>
      <c r="O22" s="136" t="e">
        <f t="shared" ref="N22:O24" si="9">AH37</f>
        <v>#NUM!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 t="e">
        <f>TINV(0.05,AE41)</f>
        <v>#NUM!</v>
      </c>
      <c r="AF22" s="340">
        <f t="shared" si="6"/>
        <v>0</v>
      </c>
      <c r="AG22" s="343">
        <f t="shared" si="7"/>
        <v>0</v>
      </c>
      <c r="AH22" s="343">
        <f t="shared" si="0"/>
        <v>0</v>
      </c>
      <c r="AI22" s="343" t="e">
        <f t="shared" si="1"/>
        <v>#DIV/0!</v>
      </c>
      <c r="AJ22" s="343">
        <f t="shared" si="2"/>
        <v>0</v>
      </c>
      <c r="AK22" s="343">
        <f t="shared" si="3"/>
        <v>0</v>
      </c>
      <c r="AL22" s="344">
        <f t="shared" si="8"/>
        <v>0</v>
      </c>
      <c r="AN22" s="124"/>
      <c r="AO22" s="331"/>
      <c r="AP22" s="331"/>
      <c r="AQ22" s="331"/>
      <c r="AR22" s="331"/>
      <c r="AS22" s="331"/>
      <c r="AT22" s="331"/>
      <c r="AU22" s="331"/>
      <c r="AV22" s="332" t="str">
        <f t="shared" si="4"/>
        <v/>
      </c>
      <c r="AW22" s="331" t="str">
        <f t="shared" si="5"/>
        <v/>
      </c>
    </row>
    <row r="23" spans="1:49" ht="12.75" customHeight="1" x14ac:dyDescent="0.2">
      <c r="A23" s="27"/>
      <c r="B23" s="55"/>
      <c r="C23" s="77"/>
      <c r="D23" s="190" t="s">
        <v>104</v>
      </c>
      <c r="E23" s="586"/>
      <c r="F23" s="587"/>
      <c r="G23" s="587"/>
      <c r="H23" s="587"/>
      <c r="I23" s="587"/>
      <c r="J23" s="588"/>
      <c r="K23" s="34"/>
      <c r="L23" s="116" t="s">
        <v>71</v>
      </c>
      <c r="M23" s="89"/>
      <c r="N23" s="427" t="e">
        <f>AG38</f>
        <v>#DIV/0!</v>
      </c>
      <c r="O23" s="136" t="e">
        <f t="shared" si="9"/>
        <v>#NUM!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 t="e">
        <f>SQRT(AF41)</f>
        <v>#DIV/0!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 t="e">
        <f t="shared" si="1"/>
        <v>#DIV/0!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/>
      <c r="E24" s="181"/>
      <c r="F24" s="51"/>
      <c r="G24" s="183"/>
      <c r="H24" s="181"/>
      <c r="I24" s="120"/>
      <c r="J24" s="121"/>
      <c r="K24" s="34"/>
      <c r="L24" s="117" t="s">
        <v>72</v>
      </c>
      <c r="M24" s="426"/>
      <c r="N24" s="427" t="e">
        <f t="shared" si="9"/>
        <v>#DIV/0!</v>
      </c>
      <c r="O24" s="136" t="e">
        <f t="shared" si="9"/>
        <v>#NUM!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 t="e">
        <f>AD22^2*AD23^2/(AD21^2*(AD15+AD16))</f>
        <v>#NUM!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/>
      <c r="E25" s="182"/>
      <c r="F25" s="185"/>
      <c r="G25" s="184"/>
      <c r="H25" s="182"/>
      <c r="I25" s="122"/>
      <c r="J25" s="123"/>
      <c r="K25" s="34"/>
      <c r="L25" s="429" t="s">
        <v>159</v>
      </c>
      <c r="M25" s="430"/>
      <c r="N25" s="428" t="e">
        <f>AD48/AD45</f>
        <v>#DIV/0!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 t="e">
        <f>(AD23^2/AD21^2)*((1/AD5+1/AD6)+(AD28-AD11+AD12)^2/(AD15+AD16))</f>
        <v>#DIV/0!</v>
      </c>
      <c r="AF26" s="359">
        <f>COUNTIF(AP26:AU26,"&gt;0")</f>
        <v>0</v>
      </c>
      <c r="AG26" s="360">
        <f t="shared" ref="AG26:AG32" si="10">SUM(AP26:AU26)</f>
        <v>0</v>
      </c>
      <c r="AH26" s="360">
        <f t="shared" ref="AH26:AH32" si="11">AF26*AW26</f>
        <v>0</v>
      </c>
      <c r="AI26" s="360" t="e">
        <f t="shared" ref="AI26:AI32" si="12">AF26*(AW26-$AD$12)^2</f>
        <v>#DIV/0!</v>
      </c>
      <c r="AJ26" s="360">
        <f t="shared" ref="AJ26:AJ32" si="13">IF(AF26=0,0,+AF26*(AG26/AF26-$AD$14)^2)</f>
        <v>0</v>
      </c>
      <c r="AK26" s="360">
        <f t="shared" ref="AK26:AK32" si="14">IF(AF26=0,0,+AF26*(AG26/AF26-$AD$14)*(AW26-$AD$12))</f>
        <v>0</v>
      </c>
      <c r="AL26" s="361">
        <f t="shared" ref="AL26:AL32" si="15">AP26^2+AQ26^2+AR26^2+AS26^2+AT26^2+AU26^2</f>
        <v>0</v>
      </c>
      <c r="AN26" s="423" t="s">
        <v>143</v>
      </c>
      <c r="AO26" s="335"/>
      <c r="AP26" s="336"/>
      <c r="AQ26" s="336"/>
      <c r="AR26" s="336"/>
      <c r="AS26" s="336"/>
      <c r="AT26" s="336"/>
      <c r="AU26" s="336"/>
      <c r="AV26" s="337" t="str">
        <f t="shared" ref="AV26:AV32" si="16">IF(AO26&gt;0,AW26*$AD$48+$AD$49,"")</f>
        <v/>
      </c>
      <c r="AW26" s="336" t="str">
        <f t="shared" ref="AW26:AW32" si="17">IF(AO26&gt;0,LOG(AO26),"")</f>
        <v/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 t="e">
        <f>(AD23*AD22/AD21)*SQRT((1-AD24)*(1/AD6+1/AD5)+(AD28-AD11+AD12)^2/(AD15+AD16))</f>
        <v>#DIV/0!</v>
      </c>
      <c r="AF27" s="339">
        <f t="shared" ref="AF27:AF32" si="18">COUNTIF(AP27:AU27,"&gt;0")</f>
        <v>0</v>
      </c>
      <c r="AG27" s="348">
        <f t="shared" si="10"/>
        <v>0</v>
      </c>
      <c r="AH27" s="348">
        <f t="shared" si="11"/>
        <v>0</v>
      </c>
      <c r="AI27" s="348" t="e">
        <f t="shared" si="12"/>
        <v>#DIV/0!</v>
      </c>
      <c r="AJ27" s="348">
        <f t="shared" si="13"/>
        <v>0</v>
      </c>
      <c r="AK27" s="348">
        <f t="shared" si="14"/>
        <v>0</v>
      </c>
      <c r="AL27" s="349">
        <f t="shared" si="15"/>
        <v>0</v>
      </c>
      <c r="AN27" s="125"/>
      <c r="AO27" s="335"/>
      <c r="AP27" s="336"/>
      <c r="AQ27" s="336"/>
      <c r="AR27" s="336"/>
      <c r="AS27" s="336"/>
      <c r="AT27" s="336"/>
      <c r="AU27" s="336"/>
      <c r="AV27" s="337" t="str">
        <f t="shared" si="16"/>
        <v/>
      </c>
      <c r="AW27" s="336" t="str">
        <f t="shared" si="17"/>
        <v/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 t="e">
        <f>$AD$11-$AD$12-(AD13-AD14)/AD21</f>
        <v>#DIV/0!</v>
      </c>
      <c r="AF28" s="339">
        <f t="shared" si="18"/>
        <v>0</v>
      </c>
      <c r="AG28" s="348">
        <f t="shared" si="10"/>
        <v>0</v>
      </c>
      <c r="AH28" s="348">
        <f t="shared" si="11"/>
        <v>0</v>
      </c>
      <c r="AI28" s="348" t="e">
        <f t="shared" si="12"/>
        <v>#DIV/0!</v>
      </c>
      <c r="AJ28" s="348">
        <f t="shared" si="13"/>
        <v>0</v>
      </c>
      <c r="AK28" s="348">
        <f t="shared" si="14"/>
        <v>0</v>
      </c>
      <c r="AL28" s="349">
        <f t="shared" si="15"/>
        <v>0</v>
      </c>
      <c r="AN28" s="125"/>
      <c r="AO28" s="335"/>
      <c r="AP28" s="336"/>
      <c r="AQ28" s="336"/>
      <c r="AR28" s="336"/>
      <c r="AS28" s="336"/>
      <c r="AT28" s="336"/>
      <c r="AU28" s="336"/>
      <c r="AV28" s="337" t="str">
        <f t="shared" si="16"/>
        <v/>
      </c>
      <c r="AW28" s="336" t="str">
        <f t="shared" si="17"/>
        <v/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 t="e">
        <f>$AD$11-$AD$12+($AD$28-$AD$11+$AD$12+$AD$27)/(1-$AD$24)</f>
        <v>#DIV/0!</v>
      </c>
      <c r="AF29" s="339">
        <f t="shared" si="18"/>
        <v>0</v>
      </c>
      <c r="AG29" s="348">
        <f t="shared" si="10"/>
        <v>0</v>
      </c>
      <c r="AH29" s="348">
        <f t="shared" si="11"/>
        <v>0</v>
      </c>
      <c r="AI29" s="348" t="e">
        <f t="shared" si="12"/>
        <v>#DIV/0!</v>
      </c>
      <c r="AJ29" s="348">
        <f t="shared" si="13"/>
        <v>0</v>
      </c>
      <c r="AK29" s="348">
        <f t="shared" si="14"/>
        <v>0</v>
      </c>
      <c r="AL29" s="349">
        <f t="shared" si="15"/>
        <v>0</v>
      </c>
      <c r="AN29" s="125"/>
      <c r="AO29" s="335"/>
      <c r="AP29" s="336"/>
      <c r="AQ29" s="336"/>
      <c r="AR29" s="336"/>
      <c r="AS29" s="336"/>
      <c r="AT29" s="336"/>
      <c r="AU29" s="336"/>
      <c r="AV29" s="337" t="str">
        <f t="shared" si="16"/>
        <v/>
      </c>
      <c r="AW29" s="336" t="str">
        <f t="shared" si="17"/>
        <v/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 t="e">
        <f>$AD$11-$AD$12+($AD$28-$AD$11+$AD$12-$AD$27)/(1-$AD$24)</f>
        <v>#DIV/0!</v>
      </c>
      <c r="AF30" s="339">
        <f t="shared" si="18"/>
        <v>0</v>
      </c>
      <c r="AG30" s="348">
        <f t="shared" si="10"/>
        <v>0</v>
      </c>
      <c r="AH30" s="348">
        <f t="shared" si="11"/>
        <v>0</v>
      </c>
      <c r="AI30" s="348" t="e">
        <f t="shared" si="12"/>
        <v>#DIV/0!</v>
      </c>
      <c r="AJ30" s="348">
        <f t="shared" si="13"/>
        <v>0</v>
      </c>
      <c r="AK30" s="348">
        <f t="shared" si="14"/>
        <v>0</v>
      </c>
      <c r="AL30" s="349">
        <f t="shared" si="15"/>
        <v>0</v>
      </c>
      <c r="AN30" s="125"/>
      <c r="AO30" s="335"/>
      <c r="AP30" s="336"/>
      <c r="AQ30" s="336"/>
      <c r="AR30" s="336"/>
      <c r="AS30" s="336"/>
      <c r="AT30" s="336"/>
      <c r="AU30" s="336"/>
      <c r="AV30" s="337" t="str">
        <f t="shared" si="16"/>
        <v/>
      </c>
      <c r="AW30" s="336" t="str">
        <f t="shared" si="17"/>
        <v/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0</v>
      </c>
      <c r="AG31" s="348">
        <f t="shared" si="10"/>
        <v>0</v>
      </c>
      <c r="AH31" s="348">
        <f t="shared" si="11"/>
        <v>0</v>
      </c>
      <c r="AI31" s="348" t="e">
        <f t="shared" si="12"/>
        <v>#DIV/0!</v>
      </c>
      <c r="AJ31" s="348">
        <f t="shared" si="13"/>
        <v>0</v>
      </c>
      <c r="AK31" s="348">
        <f t="shared" si="14"/>
        <v>0</v>
      </c>
      <c r="AL31" s="349">
        <f t="shared" si="15"/>
        <v>0</v>
      </c>
      <c r="AN31" s="125"/>
      <c r="AO31" s="335"/>
      <c r="AP31" s="336"/>
      <c r="AQ31" s="336"/>
      <c r="AR31" s="336"/>
      <c r="AS31" s="336"/>
      <c r="AT31" s="336"/>
      <c r="AU31" s="336"/>
      <c r="AV31" s="337" t="str">
        <f t="shared" si="16"/>
        <v/>
      </c>
      <c r="AW31" s="336" t="str">
        <f t="shared" si="17"/>
        <v/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 t="e">
        <f t="shared" si="12"/>
        <v>#DIV/0!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 t="e">
        <f>AD7^2/AD5+AD8^2/AD6-(AD7+AD8)^2/(AD5+AD6)</f>
        <v>#DIV/0!</v>
      </c>
      <c r="AE35" s="387">
        <v>1</v>
      </c>
      <c r="AF35" s="388" t="e">
        <f>AD35</f>
        <v>#DIV/0!</v>
      </c>
      <c r="AG35" s="389" t="e">
        <f>AF35/$AF$41</f>
        <v>#DIV/0!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 t="e">
        <f>(AD17+AD18)^2/(AD15+AD16)</f>
        <v>#DIV/0!</v>
      </c>
      <c r="AE36" s="387">
        <v>1</v>
      </c>
      <c r="AF36" s="388" t="e">
        <f>AD36</f>
        <v>#DIV/0!</v>
      </c>
      <c r="AG36" s="389" t="e">
        <f>AF36/$AF$41</f>
        <v>#DIV/0!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 t="e">
        <f>(AD17)^2/AD15+AD18^2/AD16-(AD17+AD18)^2/(AD15+AD16)</f>
        <v>#DIV/0!</v>
      </c>
      <c r="AE37" s="387">
        <v>1</v>
      </c>
      <c r="AF37" s="388" t="e">
        <f>AD37</f>
        <v>#DIV/0!</v>
      </c>
      <c r="AG37" s="391" t="e">
        <f>AF37/$AF$41</f>
        <v>#DIV/0!</v>
      </c>
      <c r="AH37" s="392" t="e">
        <f>FINV(0.05,AE37,AE$41)</f>
        <v>#NUM!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 t="e">
        <f>AD19-AD17^2/AD15</f>
        <v>#DIV/0!</v>
      </c>
      <c r="AE38" s="406">
        <f>AD3-2</f>
        <v>-2</v>
      </c>
      <c r="AF38" s="407" t="e">
        <f>AD38/AE38</f>
        <v>#DIV/0!</v>
      </c>
      <c r="AG38" s="408" t="e">
        <f>AF38/$AF$41</f>
        <v>#DIV/0!</v>
      </c>
      <c r="AH38" s="409" t="e">
        <f>FINV(0.05,AE38,AE$41)</f>
        <v>#NUM!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 t="e">
        <f>AD20-AD18^2/AD16</f>
        <v>#DIV/0!</v>
      </c>
      <c r="AE39" s="410">
        <f>AD4-2</f>
        <v>-2</v>
      </c>
      <c r="AF39" s="411" t="e">
        <f>AD39/AE39</f>
        <v>#DIV/0!</v>
      </c>
      <c r="AG39" s="412" t="e">
        <f>AF39/$AF$41</f>
        <v>#DIV/0!</v>
      </c>
      <c r="AH39" s="413" t="e">
        <f>FINV(0.05,AE39,AE$41)</f>
        <v>#NUM!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 t="e">
        <f>AD43-AD35-AD36-AD37-AD38-AD39</f>
        <v>#DIV/0!</v>
      </c>
      <c r="AE41" s="387">
        <f>AE43-AE35-AE36-AE37-AE38-AE39</f>
        <v>0</v>
      </c>
      <c r="AF41" s="388" t="e">
        <f>AD41/AE41</f>
        <v>#DIV/0!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 t="e">
        <f>SUM(AL17:AL32)-(AD7+AD8)^2/(AD5+AD6)</f>
        <v>#DIV/0!</v>
      </c>
      <c r="AE43" s="398">
        <f>(AD6+AD5)-1</f>
        <v>-1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 t="e">
        <f>AD17/AD15</f>
        <v>#DIV/0!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 t="e">
        <f>AD13-AD45*AD11</f>
        <v>#DIV/0!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 t="e">
        <f>AD18/AD16</f>
        <v>#DIV/0!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 t="e">
        <f>AD14-AD48*AD12</f>
        <v>#DIV/0!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 t="e">
        <f>10^AD28</f>
        <v>#DIV/0!</v>
      </c>
      <c r="AD53" s="419" t="e">
        <f>10^AD30</f>
        <v>#DIV/0!</v>
      </c>
      <c r="AE53" s="420" t="e">
        <f>10^AD29</f>
        <v>#DIV/0!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 t="e">
        <f>$AD$53*$N$19</f>
        <v>#DIV/0!</v>
      </c>
      <c r="AE54" s="179" t="e">
        <f>$AE$53*$N$19</f>
        <v>#DIV/0!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 t="e">
        <f>(AD53-AC53)/AC53</f>
        <v>#DIV/0!</v>
      </c>
      <c r="AE55" s="422" t="e">
        <f>(AE53-AC53)/AC53</f>
        <v>#DIV/0!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62" priority="7" stopIfTrue="1" operator="greaterThan">
      <formula>$O$22</formula>
    </cfRule>
    <cfRule type="cellIs" dxfId="61" priority="8" stopIfTrue="1" operator="notBetween">
      <formula>0.9</formula>
      <formula>1.1</formula>
    </cfRule>
    <cfRule type="cellIs" dxfId="60" priority="9" stopIfTrue="1" operator="between">
      <formula>0.9</formula>
      <formula>1.1</formula>
    </cfRule>
  </conditionalFormatting>
  <conditionalFormatting sqref="N22">
    <cfRule type="cellIs" dxfId="59" priority="5" stopIfTrue="1" operator="lessThanOrEqual">
      <formula>$O$22</formula>
    </cfRule>
    <cfRule type="cellIs" dxfId="58" priority="6" stopIfTrue="1" operator="greaterThan">
      <formula>$O$22</formula>
    </cfRule>
  </conditionalFormatting>
  <conditionalFormatting sqref="N23">
    <cfRule type="cellIs" dxfId="57" priority="3" stopIfTrue="1" operator="lessThanOrEqual">
      <formula>$O$23</formula>
    </cfRule>
    <cfRule type="cellIs" dxfId="56" priority="4" stopIfTrue="1" operator="greaterThan">
      <formula>$O$23</formula>
    </cfRule>
  </conditionalFormatting>
  <conditionalFormatting sqref="N24">
    <cfRule type="cellIs" dxfId="55" priority="1" stopIfTrue="1" operator="greaterThan">
      <formula>$O$24</formula>
    </cfRule>
    <cfRule type="cellIs" dxfId="54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17410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17410" r:id="rId4" name="RecalcSample1"/>
      </mc:Fallback>
    </mc:AlternateContent>
    <mc:AlternateContent xmlns:mc="http://schemas.openxmlformats.org/markup-compatibility/2006">
      <mc:Choice Requires="x14">
        <control shapeId="17409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17409" r:id="rId6" name="DixonButtonSamp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12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0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0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0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0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0</v>
      </c>
    </row>
    <row r="8" spans="1:49" ht="12.75" customHeight="1" x14ac:dyDescent="0.2">
      <c r="A8" s="27"/>
      <c r="B8" s="55"/>
      <c r="C8" s="49">
        <v>1</v>
      </c>
      <c r="D8" s="563"/>
      <c r="E8" s="265"/>
      <c r="F8" s="265"/>
      <c r="G8" s="265"/>
      <c r="H8" s="265"/>
      <c r="I8" s="265"/>
      <c r="J8" s="265"/>
      <c r="K8" s="148"/>
      <c r="L8" s="29">
        <v>1</v>
      </c>
      <c r="M8" s="563"/>
      <c r="N8" s="265"/>
      <c r="O8" s="265"/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0</v>
      </c>
    </row>
    <row r="9" spans="1:49" ht="12.75" customHeight="1" x14ac:dyDescent="0.2">
      <c r="A9" s="27"/>
      <c r="B9" s="55"/>
      <c r="C9" s="49">
        <v>2</v>
      </c>
      <c r="D9" s="563"/>
      <c r="E9" s="265"/>
      <c r="F9" s="265"/>
      <c r="G9" s="265"/>
      <c r="H9" s="265"/>
      <c r="I9" s="265"/>
      <c r="J9" s="265"/>
      <c r="K9" s="148"/>
      <c r="L9" s="29">
        <v>2</v>
      </c>
      <c r="M9" s="563"/>
      <c r="N9" s="265"/>
      <c r="O9" s="265"/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0</v>
      </c>
    </row>
    <row r="10" spans="1:49" ht="12.75" customHeight="1" x14ac:dyDescent="0.2">
      <c r="A10" s="27"/>
      <c r="B10" s="55"/>
      <c r="C10" s="49">
        <v>3</v>
      </c>
      <c r="D10" s="563"/>
      <c r="E10" s="265"/>
      <c r="F10" s="265"/>
      <c r="G10" s="265"/>
      <c r="H10" s="265"/>
      <c r="I10" s="265"/>
      <c r="J10" s="265"/>
      <c r="K10" s="148"/>
      <c r="L10" s="29">
        <v>3</v>
      </c>
      <c r="M10" s="563"/>
      <c r="N10" s="265"/>
      <c r="O10" s="265"/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0</v>
      </c>
    </row>
    <row r="11" spans="1:49" ht="12.75" customHeight="1" x14ac:dyDescent="0.2">
      <c r="A11" s="27"/>
      <c r="B11" s="55"/>
      <c r="C11" s="49">
        <v>4</v>
      </c>
      <c r="D11" s="563"/>
      <c r="E11" s="265"/>
      <c r="F11" s="265"/>
      <c r="G11" s="265"/>
      <c r="H11" s="265"/>
      <c r="I11" s="265"/>
      <c r="J11" s="265"/>
      <c r="K11" s="148"/>
      <c r="L11" s="29">
        <v>4</v>
      </c>
      <c r="M11" s="563"/>
      <c r="N11" s="265"/>
      <c r="O11" s="265"/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 t="e">
        <f>AD9/AD5</f>
        <v>#DIV/0!</v>
      </c>
    </row>
    <row r="12" spans="1:49" ht="12.75" customHeight="1" x14ac:dyDescent="0.2">
      <c r="A12" s="27"/>
      <c r="B12" s="55"/>
      <c r="C12" s="49">
        <v>5</v>
      </c>
      <c r="D12" s="563"/>
      <c r="E12" s="265"/>
      <c r="F12" s="265"/>
      <c r="G12" s="265"/>
      <c r="H12" s="265"/>
      <c r="I12" s="265"/>
      <c r="J12" s="265"/>
      <c r="K12" s="148"/>
      <c r="L12" s="29">
        <v>5</v>
      </c>
      <c r="M12" s="563"/>
      <c r="N12" s="265"/>
      <c r="O12" s="265"/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 t="e">
        <f>AD10/AD6</f>
        <v>#DIV/0!</v>
      </c>
    </row>
    <row r="13" spans="1:49" ht="12.75" customHeight="1" x14ac:dyDescent="0.2">
      <c r="A13" s="27"/>
      <c r="B13" s="55"/>
      <c r="C13" s="49">
        <v>6</v>
      </c>
      <c r="D13" s="563"/>
      <c r="E13" s="266"/>
      <c r="F13" s="266"/>
      <c r="G13" s="266"/>
      <c r="H13" s="266"/>
      <c r="I13" s="265"/>
      <c r="J13" s="265"/>
      <c r="K13" s="267"/>
      <c r="L13" s="29">
        <v>6</v>
      </c>
      <c r="M13" s="563"/>
      <c r="N13" s="266"/>
      <c r="O13" s="266"/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 t="e">
        <f>AD7/AD5</f>
        <v>#DIV/0!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 t="e">
        <f>AD8/AD6</f>
        <v>#DIV/0!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 t="e">
        <f>SUM(AI17:AI23)</f>
        <v>#DIV/0!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 t="e">
        <f>SUM(AI26:AI32)</f>
        <v>#DIV/0!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0</v>
      </c>
      <c r="AF17" s="353">
        <f>COUNTIF(AP17:AU17,"&gt;0")</f>
        <v>0</v>
      </c>
      <c r="AG17" s="354">
        <f>SUM(AP17:AU17)</f>
        <v>0</v>
      </c>
      <c r="AH17" s="354">
        <f t="shared" ref="AH17:AH23" si="0">AF17*AW17</f>
        <v>0</v>
      </c>
      <c r="AI17" s="354" t="e">
        <f t="shared" ref="AI17:AI23" si="1">AF17*(AW17-$AD$11)^2</f>
        <v>#DIV/0!</v>
      </c>
      <c r="AJ17" s="354">
        <f t="shared" ref="AJ17:AJ23" si="2">IF(AF17=0,0,+AF17*(AG17/AF17-$AD$13)^2)</f>
        <v>0</v>
      </c>
      <c r="AK17" s="354">
        <f t="shared" ref="AK17:AK23" si="3">IF(AF17=0,0,+AF17*(AG17/AF17-$AD$13)*(AW17-$AD$11))</f>
        <v>0</v>
      </c>
      <c r="AL17" s="355">
        <f>AP17^2+AQ17^2+AR17^2+AS17^2+AT17^2+AU17^2</f>
        <v>0</v>
      </c>
      <c r="AN17" s="13" t="s">
        <v>53</v>
      </c>
      <c r="AO17" s="331"/>
      <c r="AP17" s="331"/>
      <c r="AQ17" s="331"/>
      <c r="AR17" s="331"/>
      <c r="AS17" s="331"/>
      <c r="AT17" s="331"/>
      <c r="AU17" s="331"/>
      <c r="AV17" s="332" t="str">
        <f t="shared" ref="AV17:AV23" si="4">IF(AO17&gt;0,AW17*$AD$45+$AD$46,"")</f>
        <v/>
      </c>
      <c r="AW17" s="331" t="str">
        <f t="shared" ref="AW17:AW23" si="5">IF(AO17&gt;0,LOG(AO17),"")</f>
        <v/>
      </c>
    </row>
    <row r="18" spans="1:49" ht="12.75" customHeight="1" x14ac:dyDescent="0.2">
      <c r="A18" s="27"/>
      <c r="B18" s="55"/>
      <c r="C18" s="46"/>
      <c r="D18" s="187" t="s">
        <v>106</v>
      </c>
      <c r="E18" s="45"/>
      <c r="F18" s="73"/>
      <c r="G18" s="73"/>
      <c r="H18" s="73"/>
      <c r="I18" s="73"/>
      <c r="J18" s="44"/>
      <c r="K18" s="34"/>
      <c r="L18" s="273"/>
      <c r="M18" s="284" t="s">
        <v>128</v>
      </c>
      <c r="N18" s="274"/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0</v>
      </c>
      <c r="AF18" s="340">
        <f t="shared" ref="AF18:AF23" si="6">COUNTIF(AP18:AU18,"&gt;0")</f>
        <v>0</v>
      </c>
      <c r="AG18" s="343">
        <f t="shared" ref="AG18:AG23" si="7">SUM(AP18:AU18)</f>
        <v>0</v>
      </c>
      <c r="AH18" s="343">
        <f t="shared" si="0"/>
        <v>0</v>
      </c>
      <c r="AI18" s="343" t="e">
        <f t="shared" si="1"/>
        <v>#DIV/0!</v>
      </c>
      <c r="AJ18" s="343">
        <f t="shared" si="2"/>
        <v>0</v>
      </c>
      <c r="AK18" s="343">
        <f t="shared" si="3"/>
        <v>0</v>
      </c>
      <c r="AL18" s="344">
        <f t="shared" ref="AL18:AL23" si="8">AP18^2+AQ18^2+AR18^2+AS18^2+AT18^2+AU18^2</f>
        <v>0</v>
      </c>
      <c r="AN18" s="124"/>
      <c r="AO18" s="331"/>
      <c r="AP18" s="331"/>
      <c r="AQ18" s="331"/>
      <c r="AR18" s="331"/>
      <c r="AS18" s="331"/>
      <c r="AT18" s="331"/>
      <c r="AU18" s="331"/>
      <c r="AV18" s="332" t="str">
        <f t="shared" si="4"/>
        <v/>
      </c>
      <c r="AW18" s="331" t="str">
        <f t="shared" si="5"/>
        <v/>
      </c>
    </row>
    <row r="19" spans="1:49" ht="12.75" customHeight="1" x14ac:dyDescent="0.2">
      <c r="A19" s="27"/>
      <c r="B19" s="55"/>
      <c r="C19" s="172"/>
      <c r="D19" s="186" t="s">
        <v>107</v>
      </c>
      <c r="E19" s="490" t="e">
        <f>AC53*N19</f>
        <v>#DIV/0!</v>
      </c>
      <c r="F19" s="74">
        <f>O19</f>
        <v>0</v>
      </c>
      <c r="G19" s="74"/>
      <c r="H19" s="74"/>
      <c r="I19" s="74"/>
      <c r="J19" s="75"/>
      <c r="K19" s="34"/>
      <c r="L19" s="278"/>
      <c r="M19" s="285" t="s">
        <v>129</v>
      </c>
      <c r="N19" s="269"/>
      <c r="O19" s="269"/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0</v>
      </c>
      <c r="AF19" s="340">
        <f t="shared" si="6"/>
        <v>0</v>
      </c>
      <c r="AG19" s="343">
        <f t="shared" si="7"/>
        <v>0</v>
      </c>
      <c r="AH19" s="343">
        <f t="shared" si="0"/>
        <v>0</v>
      </c>
      <c r="AI19" s="343" t="e">
        <f t="shared" si="1"/>
        <v>#DIV/0!</v>
      </c>
      <c r="AJ19" s="343">
        <f t="shared" si="2"/>
        <v>0</v>
      </c>
      <c r="AK19" s="343">
        <f t="shared" si="3"/>
        <v>0</v>
      </c>
      <c r="AL19" s="344">
        <f t="shared" si="8"/>
        <v>0</v>
      </c>
      <c r="AN19" s="124"/>
      <c r="AO19" s="331"/>
      <c r="AP19" s="331"/>
      <c r="AQ19" s="331"/>
      <c r="AR19" s="331"/>
      <c r="AS19" s="331"/>
      <c r="AT19" s="331"/>
      <c r="AU19" s="331"/>
      <c r="AV19" s="332" t="str">
        <f t="shared" si="4"/>
        <v/>
      </c>
      <c r="AW19" s="331" t="str">
        <f t="shared" si="5"/>
        <v/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e">
        <f>"("&amp;TEXT(MIN(AD54:AE54),"0.#0")&amp;" - "&amp;TEXT(MAX(AD54:AE54),"0.#0) ")&amp;"= +/-"</f>
        <v>#VALUE!</v>
      </c>
      <c r="F20" s="491"/>
      <c r="G20" s="131" t="e">
        <f>ABS((AD54-AE54)/(2*E19))</f>
        <v>#DIV/0!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0</v>
      </c>
      <c r="AF20" s="340">
        <f t="shared" si="6"/>
        <v>0</v>
      </c>
      <c r="AG20" s="343">
        <f t="shared" si="7"/>
        <v>0</v>
      </c>
      <c r="AH20" s="343">
        <f t="shared" si="0"/>
        <v>0</v>
      </c>
      <c r="AI20" s="343" t="e">
        <f t="shared" si="1"/>
        <v>#DIV/0!</v>
      </c>
      <c r="AJ20" s="343">
        <f t="shared" si="2"/>
        <v>0</v>
      </c>
      <c r="AK20" s="343">
        <f t="shared" si="3"/>
        <v>0</v>
      </c>
      <c r="AL20" s="344">
        <f t="shared" si="8"/>
        <v>0</v>
      </c>
      <c r="AN20" s="124"/>
      <c r="AO20" s="331"/>
      <c r="AP20" s="331"/>
      <c r="AQ20" s="331"/>
      <c r="AR20" s="331"/>
      <c r="AS20" s="331"/>
      <c r="AT20" s="331"/>
      <c r="AU20" s="331"/>
      <c r="AV20" s="332" t="str">
        <f t="shared" si="4"/>
        <v/>
      </c>
      <c r="AW20" s="331" t="str">
        <f t="shared" si="5"/>
        <v/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 t="e">
        <f>(AD17+AD18)/(AD15+AD16)</f>
        <v>#DIV/0!</v>
      </c>
      <c r="AF21" s="340">
        <f t="shared" si="6"/>
        <v>0</v>
      </c>
      <c r="AG21" s="343">
        <f t="shared" si="7"/>
        <v>0</v>
      </c>
      <c r="AH21" s="343">
        <f t="shared" si="0"/>
        <v>0</v>
      </c>
      <c r="AI21" s="343" t="e">
        <f t="shared" si="1"/>
        <v>#DIV/0!</v>
      </c>
      <c r="AJ21" s="343">
        <f t="shared" si="2"/>
        <v>0</v>
      </c>
      <c r="AK21" s="343">
        <f t="shared" si="3"/>
        <v>0</v>
      </c>
      <c r="AL21" s="344">
        <f t="shared" si="8"/>
        <v>0</v>
      </c>
      <c r="AN21" s="124"/>
      <c r="AO21" s="331"/>
      <c r="AP21" s="331"/>
      <c r="AQ21" s="331"/>
      <c r="AR21" s="331"/>
      <c r="AS21" s="331"/>
      <c r="AT21" s="331"/>
      <c r="AU21" s="331"/>
      <c r="AV21" s="332" t="str">
        <f t="shared" si="4"/>
        <v/>
      </c>
      <c r="AW21" s="331" t="str">
        <f t="shared" si="5"/>
        <v/>
      </c>
    </row>
    <row r="22" spans="1:49" ht="12.75" customHeight="1" x14ac:dyDescent="0.2">
      <c r="A22" s="27"/>
      <c r="B22" s="55"/>
      <c r="C22" s="43"/>
      <c r="D22" s="189" t="s">
        <v>105</v>
      </c>
      <c r="E22" s="589"/>
      <c r="F22" s="589"/>
      <c r="G22" s="118"/>
      <c r="H22" s="118"/>
      <c r="I22" s="118"/>
      <c r="J22" s="119"/>
      <c r="K22" s="34"/>
      <c r="L22" s="31" t="s">
        <v>46</v>
      </c>
      <c r="M22" s="425"/>
      <c r="N22" s="427" t="e">
        <f>AG37</f>
        <v>#DIV/0!</v>
      </c>
      <c r="O22" s="136" t="e">
        <f t="shared" ref="N22:O24" si="9">AH37</f>
        <v>#NUM!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 t="e">
        <f>TINV(0.05,AE41)</f>
        <v>#NUM!</v>
      </c>
      <c r="AF22" s="340">
        <f t="shared" si="6"/>
        <v>0</v>
      </c>
      <c r="AG22" s="343">
        <f t="shared" si="7"/>
        <v>0</v>
      </c>
      <c r="AH22" s="343">
        <f t="shared" si="0"/>
        <v>0</v>
      </c>
      <c r="AI22" s="343" t="e">
        <f t="shared" si="1"/>
        <v>#DIV/0!</v>
      </c>
      <c r="AJ22" s="343">
        <f t="shared" si="2"/>
        <v>0</v>
      </c>
      <c r="AK22" s="343">
        <f t="shared" si="3"/>
        <v>0</v>
      </c>
      <c r="AL22" s="344">
        <f t="shared" si="8"/>
        <v>0</v>
      </c>
      <c r="AN22" s="124"/>
      <c r="AO22" s="331"/>
      <c r="AP22" s="331"/>
      <c r="AQ22" s="331"/>
      <c r="AR22" s="331"/>
      <c r="AS22" s="331"/>
      <c r="AT22" s="331"/>
      <c r="AU22" s="331"/>
      <c r="AV22" s="332" t="str">
        <f t="shared" si="4"/>
        <v/>
      </c>
      <c r="AW22" s="331" t="str">
        <f t="shared" si="5"/>
        <v/>
      </c>
    </row>
    <row r="23" spans="1:49" ht="12.75" customHeight="1" x14ac:dyDescent="0.2">
      <c r="A23" s="27"/>
      <c r="B23" s="55"/>
      <c r="C23" s="77"/>
      <c r="D23" s="190" t="s">
        <v>104</v>
      </c>
      <c r="E23" s="586"/>
      <c r="F23" s="587"/>
      <c r="G23" s="587"/>
      <c r="H23" s="587"/>
      <c r="I23" s="587"/>
      <c r="J23" s="588"/>
      <c r="K23" s="34"/>
      <c r="L23" s="116" t="s">
        <v>71</v>
      </c>
      <c r="M23" s="89"/>
      <c r="N23" s="427" t="e">
        <f>AG38</f>
        <v>#DIV/0!</v>
      </c>
      <c r="O23" s="136" t="e">
        <f t="shared" si="9"/>
        <v>#NUM!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 t="e">
        <f>SQRT(AF41)</f>
        <v>#DIV/0!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 t="e">
        <f t="shared" si="1"/>
        <v>#DIV/0!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/>
      <c r="E24" s="181"/>
      <c r="F24" s="51"/>
      <c r="G24" s="183"/>
      <c r="H24" s="181"/>
      <c r="I24" s="120"/>
      <c r="J24" s="121"/>
      <c r="K24" s="34"/>
      <c r="L24" s="117" t="s">
        <v>72</v>
      </c>
      <c r="M24" s="426"/>
      <c r="N24" s="427" t="e">
        <f t="shared" si="9"/>
        <v>#DIV/0!</v>
      </c>
      <c r="O24" s="136" t="e">
        <f t="shared" si="9"/>
        <v>#NUM!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 t="e">
        <f>AD22^2*AD23^2/(AD21^2*(AD15+AD16))</f>
        <v>#NUM!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/>
      <c r="E25" s="182"/>
      <c r="F25" s="185"/>
      <c r="G25" s="184"/>
      <c r="H25" s="182"/>
      <c r="I25" s="122"/>
      <c r="J25" s="123"/>
      <c r="K25" s="34"/>
      <c r="L25" s="429" t="s">
        <v>159</v>
      </c>
      <c r="M25" s="430"/>
      <c r="N25" s="428" t="e">
        <f>AD48/AD45</f>
        <v>#DIV/0!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 t="e">
        <f>(AD23^2/AD21^2)*((1/AD5+1/AD6)+(AD28-AD11+AD12)^2/(AD15+AD16))</f>
        <v>#DIV/0!</v>
      </c>
      <c r="AF26" s="359">
        <f>COUNTIF(AP26:AU26,"&gt;0")</f>
        <v>0</v>
      </c>
      <c r="AG26" s="360">
        <f t="shared" ref="AG26:AG32" si="10">SUM(AP26:AU26)</f>
        <v>0</v>
      </c>
      <c r="AH26" s="360">
        <f t="shared" ref="AH26:AH32" si="11">AF26*AW26</f>
        <v>0</v>
      </c>
      <c r="AI26" s="360" t="e">
        <f t="shared" ref="AI26:AI32" si="12">AF26*(AW26-$AD$12)^2</f>
        <v>#DIV/0!</v>
      </c>
      <c r="AJ26" s="360">
        <f t="shared" ref="AJ26:AJ32" si="13">IF(AF26=0,0,+AF26*(AG26/AF26-$AD$14)^2)</f>
        <v>0</v>
      </c>
      <c r="AK26" s="360">
        <f t="shared" ref="AK26:AK32" si="14">IF(AF26=0,0,+AF26*(AG26/AF26-$AD$14)*(AW26-$AD$12))</f>
        <v>0</v>
      </c>
      <c r="AL26" s="361">
        <f t="shared" ref="AL26:AL32" si="15">AP26^2+AQ26^2+AR26^2+AS26^2+AT26^2+AU26^2</f>
        <v>0</v>
      </c>
      <c r="AN26" s="423" t="s">
        <v>143</v>
      </c>
      <c r="AO26" s="335"/>
      <c r="AP26" s="336"/>
      <c r="AQ26" s="336"/>
      <c r="AR26" s="336"/>
      <c r="AS26" s="336"/>
      <c r="AT26" s="336"/>
      <c r="AU26" s="336"/>
      <c r="AV26" s="337" t="str">
        <f t="shared" ref="AV26:AV32" si="16">IF(AO26&gt;0,AW26*$AD$48+$AD$49,"")</f>
        <v/>
      </c>
      <c r="AW26" s="336" t="str">
        <f t="shared" ref="AW26:AW32" si="17">IF(AO26&gt;0,LOG(AO26),"")</f>
        <v/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 t="e">
        <f>(AD23*AD22/AD21)*SQRT((1-AD24)*(1/AD6+1/AD5)+(AD28-AD11+AD12)^2/(AD15+AD16))</f>
        <v>#DIV/0!</v>
      </c>
      <c r="AF27" s="339">
        <f t="shared" ref="AF27:AF32" si="18">COUNTIF(AP27:AU27,"&gt;0")</f>
        <v>0</v>
      </c>
      <c r="AG27" s="348">
        <f t="shared" si="10"/>
        <v>0</v>
      </c>
      <c r="AH27" s="348">
        <f t="shared" si="11"/>
        <v>0</v>
      </c>
      <c r="AI27" s="348" t="e">
        <f t="shared" si="12"/>
        <v>#DIV/0!</v>
      </c>
      <c r="AJ27" s="348">
        <f t="shared" si="13"/>
        <v>0</v>
      </c>
      <c r="AK27" s="348">
        <f t="shared" si="14"/>
        <v>0</v>
      </c>
      <c r="AL27" s="349">
        <f t="shared" si="15"/>
        <v>0</v>
      </c>
      <c r="AN27" s="125"/>
      <c r="AO27" s="335"/>
      <c r="AP27" s="336"/>
      <c r="AQ27" s="336"/>
      <c r="AR27" s="336"/>
      <c r="AS27" s="336"/>
      <c r="AT27" s="336"/>
      <c r="AU27" s="336"/>
      <c r="AV27" s="337" t="str">
        <f t="shared" si="16"/>
        <v/>
      </c>
      <c r="AW27" s="336" t="str">
        <f t="shared" si="17"/>
        <v/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 t="e">
        <f>$AD$11-$AD$12-(AD13-AD14)/AD21</f>
        <v>#DIV/0!</v>
      </c>
      <c r="AF28" s="339">
        <f t="shared" si="18"/>
        <v>0</v>
      </c>
      <c r="AG28" s="348">
        <f t="shared" si="10"/>
        <v>0</v>
      </c>
      <c r="AH28" s="348">
        <f t="shared" si="11"/>
        <v>0</v>
      </c>
      <c r="AI28" s="348" t="e">
        <f t="shared" si="12"/>
        <v>#DIV/0!</v>
      </c>
      <c r="AJ28" s="348">
        <f t="shared" si="13"/>
        <v>0</v>
      </c>
      <c r="AK28" s="348">
        <f t="shared" si="14"/>
        <v>0</v>
      </c>
      <c r="AL28" s="349">
        <f t="shared" si="15"/>
        <v>0</v>
      </c>
      <c r="AN28" s="125"/>
      <c r="AO28" s="335"/>
      <c r="AP28" s="336"/>
      <c r="AQ28" s="336"/>
      <c r="AR28" s="336"/>
      <c r="AS28" s="336"/>
      <c r="AT28" s="336"/>
      <c r="AU28" s="336"/>
      <c r="AV28" s="337" t="str">
        <f t="shared" si="16"/>
        <v/>
      </c>
      <c r="AW28" s="336" t="str">
        <f t="shared" si="17"/>
        <v/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 t="e">
        <f>$AD$11-$AD$12+($AD$28-$AD$11+$AD$12+$AD$27)/(1-$AD$24)</f>
        <v>#DIV/0!</v>
      </c>
      <c r="AF29" s="339">
        <f t="shared" si="18"/>
        <v>0</v>
      </c>
      <c r="AG29" s="348">
        <f t="shared" si="10"/>
        <v>0</v>
      </c>
      <c r="AH29" s="348">
        <f t="shared" si="11"/>
        <v>0</v>
      </c>
      <c r="AI29" s="348" t="e">
        <f t="shared" si="12"/>
        <v>#DIV/0!</v>
      </c>
      <c r="AJ29" s="348">
        <f t="shared" si="13"/>
        <v>0</v>
      </c>
      <c r="AK29" s="348">
        <f t="shared" si="14"/>
        <v>0</v>
      </c>
      <c r="AL29" s="349">
        <f t="shared" si="15"/>
        <v>0</v>
      </c>
      <c r="AN29" s="125"/>
      <c r="AO29" s="335"/>
      <c r="AP29" s="336"/>
      <c r="AQ29" s="336"/>
      <c r="AR29" s="336"/>
      <c r="AS29" s="336"/>
      <c r="AT29" s="336"/>
      <c r="AU29" s="336"/>
      <c r="AV29" s="337" t="str">
        <f t="shared" si="16"/>
        <v/>
      </c>
      <c r="AW29" s="336" t="str">
        <f t="shared" si="17"/>
        <v/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 t="e">
        <f>$AD$11-$AD$12+($AD$28-$AD$11+$AD$12-$AD$27)/(1-$AD$24)</f>
        <v>#DIV/0!</v>
      </c>
      <c r="AF30" s="339">
        <f t="shared" si="18"/>
        <v>0</v>
      </c>
      <c r="AG30" s="348">
        <f t="shared" si="10"/>
        <v>0</v>
      </c>
      <c r="AH30" s="348">
        <f t="shared" si="11"/>
        <v>0</v>
      </c>
      <c r="AI30" s="348" t="e">
        <f t="shared" si="12"/>
        <v>#DIV/0!</v>
      </c>
      <c r="AJ30" s="348">
        <f t="shared" si="13"/>
        <v>0</v>
      </c>
      <c r="AK30" s="348">
        <f t="shared" si="14"/>
        <v>0</v>
      </c>
      <c r="AL30" s="349">
        <f t="shared" si="15"/>
        <v>0</v>
      </c>
      <c r="AN30" s="125"/>
      <c r="AO30" s="335"/>
      <c r="AP30" s="336"/>
      <c r="AQ30" s="336"/>
      <c r="AR30" s="336"/>
      <c r="AS30" s="336"/>
      <c r="AT30" s="336"/>
      <c r="AU30" s="336"/>
      <c r="AV30" s="337" t="str">
        <f t="shared" si="16"/>
        <v/>
      </c>
      <c r="AW30" s="336" t="str">
        <f t="shared" si="17"/>
        <v/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0</v>
      </c>
      <c r="AG31" s="348">
        <f t="shared" si="10"/>
        <v>0</v>
      </c>
      <c r="AH31" s="348">
        <f t="shared" si="11"/>
        <v>0</v>
      </c>
      <c r="AI31" s="348" t="e">
        <f t="shared" si="12"/>
        <v>#DIV/0!</v>
      </c>
      <c r="AJ31" s="348">
        <f t="shared" si="13"/>
        <v>0</v>
      </c>
      <c r="AK31" s="348">
        <f t="shared" si="14"/>
        <v>0</v>
      </c>
      <c r="AL31" s="349">
        <f t="shared" si="15"/>
        <v>0</v>
      </c>
      <c r="AN31" s="125"/>
      <c r="AO31" s="335"/>
      <c r="AP31" s="336"/>
      <c r="AQ31" s="336"/>
      <c r="AR31" s="336"/>
      <c r="AS31" s="336"/>
      <c r="AT31" s="336"/>
      <c r="AU31" s="336"/>
      <c r="AV31" s="337" t="str">
        <f t="shared" si="16"/>
        <v/>
      </c>
      <c r="AW31" s="336" t="str">
        <f t="shared" si="17"/>
        <v/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 t="e">
        <f t="shared" si="12"/>
        <v>#DIV/0!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 t="e">
        <f>AD7^2/AD5+AD8^2/AD6-(AD7+AD8)^2/(AD5+AD6)</f>
        <v>#DIV/0!</v>
      </c>
      <c r="AE35" s="387">
        <v>1</v>
      </c>
      <c r="AF35" s="388" t="e">
        <f>AD35</f>
        <v>#DIV/0!</v>
      </c>
      <c r="AG35" s="389" t="e">
        <f>AF35/$AF$41</f>
        <v>#DIV/0!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 t="e">
        <f>(AD17+AD18)^2/(AD15+AD16)</f>
        <v>#DIV/0!</v>
      </c>
      <c r="AE36" s="387">
        <v>1</v>
      </c>
      <c r="AF36" s="388" t="e">
        <f>AD36</f>
        <v>#DIV/0!</v>
      </c>
      <c r="AG36" s="389" t="e">
        <f>AF36/$AF$41</f>
        <v>#DIV/0!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 t="e">
        <f>(AD17)^2/AD15+AD18^2/AD16-(AD17+AD18)^2/(AD15+AD16)</f>
        <v>#DIV/0!</v>
      </c>
      <c r="AE37" s="387">
        <v>1</v>
      </c>
      <c r="AF37" s="388" t="e">
        <f>AD37</f>
        <v>#DIV/0!</v>
      </c>
      <c r="AG37" s="391" t="e">
        <f>AF37/$AF$41</f>
        <v>#DIV/0!</v>
      </c>
      <c r="AH37" s="392" t="e">
        <f>FINV(0.05,AE37,AE$41)</f>
        <v>#NUM!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 t="e">
        <f>AD19-AD17^2/AD15</f>
        <v>#DIV/0!</v>
      </c>
      <c r="AE38" s="406">
        <f>AD3-2</f>
        <v>-2</v>
      </c>
      <c r="AF38" s="407" t="e">
        <f>AD38/AE38</f>
        <v>#DIV/0!</v>
      </c>
      <c r="AG38" s="408" t="e">
        <f>AF38/$AF$41</f>
        <v>#DIV/0!</v>
      </c>
      <c r="AH38" s="409" t="e">
        <f>FINV(0.05,AE38,AE$41)</f>
        <v>#NUM!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 t="e">
        <f>AD20-AD18^2/AD16</f>
        <v>#DIV/0!</v>
      </c>
      <c r="AE39" s="410">
        <f>AD4-2</f>
        <v>-2</v>
      </c>
      <c r="AF39" s="411" t="e">
        <f>AD39/AE39</f>
        <v>#DIV/0!</v>
      </c>
      <c r="AG39" s="412" t="e">
        <f>AF39/$AF$41</f>
        <v>#DIV/0!</v>
      </c>
      <c r="AH39" s="413" t="e">
        <f>FINV(0.05,AE39,AE$41)</f>
        <v>#NUM!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 t="e">
        <f>AD43-AD35-AD36-AD37-AD38-AD39</f>
        <v>#DIV/0!</v>
      </c>
      <c r="AE41" s="387">
        <f>AE43-AE35-AE36-AE37-AE38-AE39</f>
        <v>0</v>
      </c>
      <c r="AF41" s="388" t="e">
        <f>AD41/AE41</f>
        <v>#DIV/0!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 t="e">
        <f>SUM(AL17:AL32)-(AD7+AD8)^2/(AD5+AD6)</f>
        <v>#DIV/0!</v>
      </c>
      <c r="AE43" s="398">
        <f>(AD6+AD5)-1</f>
        <v>-1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 t="e">
        <f>AD17/AD15</f>
        <v>#DIV/0!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 t="e">
        <f>AD13-AD45*AD11</f>
        <v>#DIV/0!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 t="e">
        <f>AD18/AD16</f>
        <v>#DIV/0!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 t="e">
        <f>AD14-AD48*AD12</f>
        <v>#DIV/0!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 t="e">
        <f>10^AD28</f>
        <v>#DIV/0!</v>
      </c>
      <c r="AD53" s="419" t="e">
        <f>10^AD30</f>
        <v>#DIV/0!</v>
      </c>
      <c r="AE53" s="420" t="e">
        <f>10^AD29</f>
        <v>#DIV/0!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 t="e">
        <f>$AD$53*$N$19</f>
        <v>#DIV/0!</v>
      </c>
      <c r="AE54" s="179" t="e">
        <f>$AE$53*$N$19</f>
        <v>#DIV/0!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 t="e">
        <f>(AD53-AC53)/AC53</f>
        <v>#DIV/0!</v>
      </c>
      <c r="AE55" s="422" t="e">
        <f>(AE53-AC53)/AC53</f>
        <v>#DIV/0!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53" priority="7" stopIfTrue="1" operator="greaterThan">
      <formula>$O$22</formula>
    </cfRule>
    <cfRule type="cellIs" dxfId="52" priority="8" stopIfTrue="1" operator="notBetween">
      <formula>0.9</formula>
      <formula>1.1</formula>
    </cfRule>
    <cfRule type="cellIs" dxfId="51" priority="9" stopIfTrue="1" operator="between">
      <formula>0.9</formula>
      <formula>1.1</formula>
    </cfRule>
  </conditionalFormatting>
  <conditionalFormatting sqref="N22">
    <cfRule type="cellIs" dxfId="50" priority="5" stopIfTrue="1" operator="lessThanOrEqual">
      <formula>$O$22</formula>
    </cfRule>
    <cfRule type="cellIs" dxfId="49" priority="6" stopIfTrue="1" operator="greaterThan">
      <formula>$O$22</formula>
    </cfRule>
  </conditionalFormatting>
  <conditionalFormatting sqref="N23">
    <cfRule type="cellIs" dxfId="48" priority="3" stopIfTrue="1" operator="lessThanOrEqual">
      <formula>$O$23</formula>
    </cfRule>
    <cfRule type="cellIs" dxfId="47" priority="4" stopIfTrue="1" operator="greaterThan">
      <formula>$O$23</formula>
    </cfRule>
  </conditionalFormatting>
  <conditionalFormatting sqref="N24">
    <cfRule type="cellIs" dxfId="46" priority="1" stopIfTrue="1" operator="greaterThan">
      <formula>$O$24</formula>
    </cfRule>
    <cfRule type="cellIs" dxfId="45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18434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18434" r:id="rId4" name="RecalcSample1"/>
      </mc:Fallback>
    </mc:AlternateContent>
    <mc:AlternateContent xmlns:mc="http://schemas.openxmlformats.org/markup-compatibility/2006">
      <mc:Choice Requires="x14">
        <control shapeId="18433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18433" r:id="rId6" name="DixonButtonSampl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13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0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0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0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0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0</v>
      </c>
    </row>
    <row r="8" spans="1:49" ht="12.75" customHeight="1" x14ac:dyDescent="0.2">
      <c r="A8" s="27"/>
      <c r="B8" s="55"/>
      <c r="C8" s="49">
        <v>1</v>
      </c>
      <c r="D8" s="563"/>
      <c r="E8" s="265"/>
      <c r="F8" s="265"/>
      <c r="G8" s="265"/>
      <c r="H8" s="265"/>
      <c r="I8" s="265"/>
      <c r="J8" s="265"/>
      <c r="K8" s="148"/>
      <c r="L8" s="29">
        <v>1</v>
      </c>
      <c r="M8" s="563"/>
      <c r="N8" s="265"/>
      <c r="O8" s="265"/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0</v>
      </c>
    </row>
    <row r="9" spans="1:49" ht="12.75" customHeight="1" x14ac:dyDescent="0.2">
      <c r="A9" s="27"/>
      <c r="B9" s="55"/>
      <c r="C9" s="49">
        <v>2</v>
      </c>
      <c r="D9" s="563"/>
      <c r="E9" s="265"/>
      <c r="F9" s="265"/>
      <c r="G9" s="265"/>
      <c r="H9" s="265"/>
      <c r="I9" s="265"/>
      <c r="J9" s="265"/>
      <c r="K9" s="148"/>
      <c r="L9" s="29">
        <v>2</v>
      </c>
      <c r="M9" s="563"/>
      <c r="N9" s="265"/>
      <c r="O9" s="265"/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0</v>
      </c>
    </row>
    <row r="10" spans="1:49" ht="12.75" customHeight="1" x14ac:dyDescent="0.2">
      <c r="A10" s="27"/>
      <c r="B10" s="55"/>
      <c r="C10" s="49">
        <v>3</v>
      </c>
      <c r="D10" s="563"/>
      <c r="E10" s="265"/>
      <c r="F10" s="265"/>
      <c r="G10" s="265"/>
      <c r="H10" s="265"/>
      <c r="I10" s="265"/>
      <c r="J10" s="265"/>
      <c r="K10" s="148"/>
      <c r="L10" s="29">
        <v>3</v>
      </c>
      <c r="M10" s="563"/>
      <c r="N10" s="265"/>
      <c r="O10" s="265"/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0</v>
      </c>
    </row>
    <row r="11" spans="1:49" ht="12.75" customHeight="1" x14ac:dyDescent="0.2">
      <c r="A11" s="27"/>
      <c r="B11" s="55"/>
      <c r="C11" s="49">
        <v>4</v>
      </c>
      <c r="D11" s="563"/>
      <c r="E11" s="265"/>
      <c r="F11" s="265"/>
      <c r="G11" s="265"/>
      <c r="H11" s="265"/>
      <c r="I11" s="265"/>
      <c r="J11" s="265"/>
      <c r="K11" s="148"/>
      <c r="L11" s="29">
        <v>4</v>
      </c>
      <c r="M11" s="563"/>
      <c r="N11" s="265"/>
      <c r="O11" s="265"/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 t="e">
        <f>AD9/AD5</f>
        <v>#DIV/0!</v>
      </c>
    </row>
    <row r="12" spans="1:49" ht="12.75" customHeight="1" x14ac:dyDescent="0.2">
      <c r="A12" s="27"/>
      <c r="B12" s="55"/>
      <c r="C12" s="49">
        <v>5</v>
      </c>
      <c r="D12" s="563"/>
      <c r="E12" s="265"/>
      <c r="F12" s="265"/>
      <c r="G12" s="265"/>
      <c r="H12" s="265"/>
      <c r="I12" s="265"/>
      <c r="J12" s="265"/>
      <c r="K12" s="148"/>
      <c r="L12" s="29">
        <v>5</v>
      </c>
      <c r="M12" s="563"/>
      <c r="N12" s="265"/>
      <c r="O12" s="265"/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 t="e">
        <f>AD10/AD6</f>
        <v>#DIV/0!</v>
      </c>
    </row>
    <row r="13" spans="1:49" ht="12.75" customHeight="1" x14ac:dyDescent="0.2">
      <c r="A13" s="27"/>
      <c r="B13" s="55"/>
      <c r="C13" s="49">
        <v>6</v>
      </c>
      <c r="D13" s="563"/>
      <c r="E13" s="266"/>
      <c r="F13" s="266"/>
      <c r="G13" s="266"/>
      <c r="H13" s="266"/>
      <c r="I13" s="265"/>
      <c r="J13" s="265"/>
      <c r="K13" s="267"/>
      <c r="L13" s="29">
        <v>6</v>
      </c>
      <c r="M13" s="563"/>
      <c r="N13" s="266"/>
      <c r="O13" s="266"/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 t="e">
        <f>AD7/AD5</f>
        <v>#DIV/0!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 t="e">
        <f>AD8/AD6</f>
        <v>#DIV/0!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 t="e">
        <f>SUM(AI17:AI23)</f>
        <v>#DIV/0!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 t="e">
        <f>SUM(AI26:AI32)</f>
        <v>#DIV/0!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0</v>
      </c>
      <c r="AF17" s="353">
        <f>COUNTIF(AP17:AU17,"&gt;0")</f>
        <v>0</v>
      </c>
      <c r="AG17" s="354">
        <f>SUM(AP17:AU17)</f>
        <v>0</v>
      </c>
      <c r="AH17" s="354">
        <f t="shared" ref="AH17:AH23" si="0">AF17*AW17</f>
        <v>0</v>
      </c>
      <c r="AI17" s="354" t="e">
        <f t="shared" ref="AI17:AI23" si="1">AF17*(AW17-$AD$11)^2</f>
        <v>#DIV/0!</v>
      </c>
      <c r="AJ17" s="354">
        <f t="shared" ref="AJ17:AJ23" si="2">IF(AF17=0,0,+AF17*(AG17/AF17-$AD$13)^2)</f>
        <v>0</v>
      </c>
      <c r="AK17" s="354">
        <f t="shared" ref="AK17:AK23" si="3">IF(AF17=0,0,+AF17*(AG17/AF17-$AD$13)*(AW17-$AD$11))</f>
        <v>0</v>
      </c>
      <c r="AL17" s="355">
        <f>AP17^2+AQ17^2+AR17^2+AS17^2+AT17^2+AU17^2</f>
        <v>0</v>
      </c>
      <c r="AN17" s="13" t="s">
        <v>53</v>
      </c>
      <c r="AO17" s="331"/>
      <c r="AP17" s="331"/>
      <c r="AQ17" s="331"/>
      <c r="AR17" s="331"/>
      <c r="AS17" s="331"/>
      <c r="AT17" s="331"/>
      <c r="AU17" s="331"/>
      <c r="AV17" s="332" t="str">
        <f t="shared" ref="AV17:AV23" si="4">IF(AO17&gt;0,AW17*$AD$45+$AD$46,"")</f>
        <v/>
      </c>
      <c r="AW17" s="331" t="str">
        <f t="shared" ref="AW17:AW23" si="5">IF(AO17&gt;0,LOG(AO17),"")</f>
        <v/>
      </c>
    </row>
    <row r="18" spans="1:49" ht="12.75" customHeight="1" x14ac:dyDescent="0.2">
      <c r="A18" s="27"/>
      <c r="B18" s="55"/>
      <c r="C18" s="46"/>
      <c r="D18" s="187" t="s">
        <v>106</v>
      </c>
      <c r="E18" s="45"/>
      <c r="F18" s="73"/>
      <c r="G18" s="73"/>
      <c r="H18" s="73"/>
      <c r="I18" s="73"/>
      <c r="J18" s="44"/>
      <c r="K18" s="34"/>
      <c r="L18" s="273"/>
      <c r="M18" s="284" t="s">
        <v>128</v>
      </c>
      <c r="N18" s="274"/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0</v>
      </c>
      <c r="AF18" s="340">
        <f t="shared" ref="AF18:AF23" si="6">COUNTIF(AP18:AU18,"&gt;0")</f>
        <v>0</v>
      </c>
      <c r="AG18" s="343">
        <f t="shared" ref="AG18:AG23" si="7">SUM(AP18:AU18)</f>
        <v>0</v>
      </c>
      <c r="AH18" s="343">
        <f t="shared" si="0"/>
        <v>0</v>
      </c>
      <c r="AI18" s="343" t="e">
        <f t="shared" si="1"/>
        <v>#DIV/0!</v>
      </c>
      <c r="AJ18" s="343">
        <f t="shared" si="2"/>
        <v>0</v>
      </c>
      <c r="AK18" s="343">
        <f t="shared" si="3"/>
        <v>0</v>
      </c>
      <c r="AL18" s="344">
        <f t="shared" ref="AL18:AL23" si="8">AP18^2+AQ18^2+AR18^2+AS18^2+AT18^2+AU18^2</f>
        <v>0</v>
      </c>
      <c r="AN18" s="124"/>
      <c r="AO18" s="331"/>
      <c r="AP18" s="331"/>
      <c r="AQ18" s="331"/>
      <c r="AR18" s="331"/>
      <c r="AS18" s="331"/>
      <c r="AT18" s="331"/>
      <c r="AU18" s="331"/>
      <c r="AV18" s="332" t="str">
        <f t="shared" si="4"/>
        <v/>
      </c>
      <c r="AW18" s="331" t="str">
        <f t="shared" si="5"/>
        <v/>
      </c>
    </row>
    <row r="19" spans="1:49" ht="12.75" customHeight="1" x14ac:dyDescent="0.2">
      <c r="A19" s="27"/>
      <c r="B19" s="55"/>
      <c r="C19" s="172"/>
      <c r="D19" s="186" t="s">
        <v>107</v>
      </c>
      <c r="E19" s="490" t="e">
        <f>AC53*N19</f>
        <v>#DIV/0!</v>
      </c>
      <c r="F19" s="74">
        <f>O19</f>
        <v>0</v>
      </c>
      <c r="G19" s="74"/>
      <c r="H19" s="74"/>
      <c r="I19" s="74"/>
      <c r="J19" s="75"/>
      <c r="K19" s="34"/>
      <c r="L19" s="278"/>
      <c r="M19" s="285" t="s">
        <v>129</v>
      </c>
      <c r="N19" s="269"/>
      <c r="O19" s="269"/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0</v>
      </c>
      <c r="AF19" s="340">
        <f t="shared" si="6"/>
        <v>0</v>
      </c>
      <c r="AG19" s="343">
        <f t="shared" si="7"/>
        <v>0</v>
      </c>
      <c r="AH19" s="343">
        <f t="shared" si="0"/>
        <v>0</v>
      </c>
      <c r="AI19" s="343" t="e">
        <f t="shared" si="1"/>
        <v>#DIV/0!</v>
      </c>
      <c r="AJ19" s="343">
        <f t="shared" si="2"/>
        <v>0</v>
      </c>
      <c r="AK19" s="343">
        <f t="shared" si="3"/>
        <v>0</v>
      </c>
      <c r="AL19" s="344">
        <f t="shared" si="8"/>
        <v>0</v>
      </c>
      <c r="AN19" s="124"/>
      <c r="AO19" s="331"/>
      <c r="AP19" s="331"/>
      <c r="AQ19" s="331"/>
      <c r="AR19" s="331"/>
      <c r="AS19" s="331"/>
      <c r="AT19" s="331"/>
      <c r="AU19" s="331"/>
      <c r="AV19" s="332" t="str">
        <f t="shared" si="4"/>
        <v/>
      </c>
      <c r="AW19" s="331" t="str">
        <f t="shared" si="5"/>
        <v/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e">
        <f>"("&amp;TEXT(MIN(AD54:AE54),"0.#0")&amp;" - "&amp;TEXT(MAX(AD54:AE54),"0.#0) ")&amp;"= +/-"</f>
        <v>#VALUE!</v>
      </c>
      <c r="F20" s="491"/>
      <c r="G20" s="131" t="e">
        <f>ABS((AD54-AE54)/(2*E19))</f>
        <v>#DIV/0!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0</v>
      </c>
      <c r="AF20" s="340">
        <f t="shared" si="6"/>
        <v>0</v>
      </c>
      <c r="AG20" s="343">
        <f t="shared" si="7"/>
        <v>0</v>
      </c>
      <c r="AH20" s="343">
        <f t="shared" si="0"/>
        <v>0</v>
      </c>
      <c r="AI20" s="343" t="e">
        <f t="shared" si="1"/>
        <v>#DIV/0!</v>
      </c>
      <c r="AJ20" s="343">
        <f t="shared" si="2"/>
        <v>0</v>
      </c>
      <c r="AK20" s="343">
        <f t="shared" si="3"/>
        <v>0</v>
      </c>
      <c r="AL20" s="344">
        <f t="shared" si="8"/>
        <v>0</v>
      </c>
      <c r="AN20" s="124"/>
      <c r="AO20" s="331"/>
      <c r="AP20" s="331"/>
      <c r="AQ20" s="331"/>
      <c r="AR20" s="331"/>
      <c r="AS20" s="331"/>
      <c r="AT20" s="331"/>
      <c r="AU20" s="331"/>
      <c r="AV20" s="332" t="str">
        <f t="shared" si="4"/>
        <v/>
      </c>
      <c r="AW20" s="331" t="str">
        <f t="shared" si="5"/>
        <v/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 t="e">
        <f>(AD17+AD18)/(AD15+AD16)</f>
        <v>#DIV/0!</v>
      </c>
      <c r="AF21" s="340">
        <f t="shared" si="6"/>
        <v>0</v>
      </c>
      <c r="AG21" s="343">
        <f t="shared" si="7"/>
        <v>0</v>
      </c>
      <c r="AH21" s="343">
        <f t="shared" si="0"/>
        <v>0</v>
      </c>
      <c r="AI21" s="343" t="e">
        <f t="shared" si="1"/>
        <v>#DIV/0!</v>
      </c>
      <c r="AJ21" s="343">
        <f t="shared" si="2"/>
        <v>0</v>
      </c>
      <c r="AK21" s="343">
        <f t="shared" si="3"/>
        <v>0</v>
      </c>
      <c r="AL21" s="344">
        <f t="shared" si="8"/>
        <v>0</v>
      </c>
      <c r="AN21" s="124"/>
      <c r="AO21" s="331"/>
      <c r="AP21" s="331"/>
      <c r="AQ21" s="331"/>
      <c r="AR21" s="331"/>
      <c r="AS21" s="331"/>
      <c r="AT21" s="331"/>
      <c r="AU21" s="331"/>
      <c r="AV21" s="332" t="str">
        <f t="shared" si="4"/>
        <v/>
      </c>
      <c r="AW21" s="331" t="str">
        <f t="shared" si="5"/>
        <v/>
      </c>
    </row>
    <row r="22" spans="1:49" ht="12.75" customHeight="1" x14ac:dyDescent="0.2">
      <c r="A22" s="27"/>
      <c r="B22" s="55"/>
      <c r="C22" s="43"/>
      <c r="D22" s="189" t="s">
        <v>105</v>
      </c>
      <c r="E22" s="589"/>
      <c r="F22" s="589"/>
      <c r="G22" s="118"/>
      <c r="H22" s="118"/>
      <c r="I22" s="118"/>
      <c r="J22" s="119"/>
      <c r="K22" s="34"/>
      <c r="L22" s="31" t="s">
        <v>46</v>
      </c>
      <c r="M22" s="425"/>
      <c r="N22" s="427" t="e">
        <f>AG37</f>
        <v>#DIV/0!</v>
      </c>
      <c r="O22" s="136" t="e">
        <f t="shared" ref="N22:O24" si="9">AH37</f>
        <v>#NUM!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 t="e">
        <f>TINV(0.05,AE41)</f>
        <v>#NUM!</v>
      </c>
      <c r="AF22" s="340">
        <f t="shared" si="6"/>
        <v>0</v>
      </c>
      <c r="AG22" s="343">
        <f t="shared" si="7"/>
        <v>0</v>
      </c>
      <c r="AH22" s="343">
        <f t="shared" si="0"/>
        <v>0</v>
      </c>
      <c r="AI22" s="343" t="e">
        <f t="shared" si="1"/>
        <v>#DIV/0!</v>
      </c>
      <c r="AJ22" s="343">
        <f t="shared" si="2"/>
        <v>0</v>
      </c>
      <c r="AK22" s="343">
        <f t="shared" si="3"/>
        <v>0</v>
      </c>
      <c r="AL22" s="344">
        <f t="shared" si="8"/>
        <v>0</v>
      </c>
      <c r="AN22" s="124"/>
      <c r="AO22" s="331"/>
      <c r="AP22" s="331"/>
      <c r="AQ22" s="331"/>
      <c r="AR22" s="331"/>
      <c r="AS22" s="331"/>
      <c r="AT22" s="331"/>
      <c r="AU22" s="331"/>
      <c r="AV22" s="332" t="str">
        <f t="shared" si="4"/>
        <v/>
      </c>
      <c r="AW22" s="331" t="str">
        <f t="shared" si="5"/>
        <v/>
      </c>
    </row>
    <row r="23" spans="1:49" ht="12.75" customHeight="1" x14ac:dyDescent="0.2">
      <c r="A23" s="27"/>
      <c r="B23" s="55"/>
      <c r="C23" s="77"/>
      <c r="D23" s="190" t="s">
        <v>104</v>
      </c>
      <c r="E23" s="586"/>
      <c r="F23" s="587"/>
      <c r="G23" s="587"/>
      <c r="H23" s="587"/>
      <c r="I23" s="587"/>
      <c r="J23" s="588"/>
      <c r="K23" s="34"/>
      <c r="L23" s="116" t="s">
        <v>71</v>
      </c>
      <c r="M23" s="89"/>
      <c r="N23" s="427" t="e">
        <f>AG38</f>
        <v>#DIV/0!</v>
      </c>
      <c r="O23" s="136" t="e">
        <f t="shared" si="9"/>
        <v>#NUM!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 t="e">
        <f>SQRT(AF41)</f>
        <v>#DIV/0!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 t="e">
        <f t="shared" si="1"/>
        <v>#DIV/0!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/>
      <c r="E24" s="181"/>
      <c r="F24" s="51"/>
      <c r="G24" s="183"/>
      <c r="H24" s="181"/>
      <c r="I24" s="120"/>
      <c r="J24" s="121"/>
      <c r="K24" s="34"/>
      <c r="L24" s="117" t="s">
        <v>72</v>
      </c>
      <c r="M24" s="426"/>
      <c r="N24" s="427" t="e">
        <f t="shared" si="9"/>
        <v>#DIV/0!</v>
      </c>
      <c r="O24" s="136" t="e">
        <f t="shared" si="9"/>
        <v>#NUM!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 t="e">
        <f>AD22^2*AD23^2/(AD21^2*(AD15+AD16))</f>
        <v>#NUM!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/>
      <c r="E25" s="182"/>
      <c r="F25" s="185"/>
      <c r="G25" s="184"/>
      <c r="H25" s="182"/>
      <c r="I25" s="122"/>
      <c r="J25" s="123"/>
      <c r="K25" s="34"/>
      <c r="L25" s="429" t="s">
        <v>159</v>
      </c>
      <c r="M25" s="430"/>
      <c r="N25" s="428" t="e">
        <f>AD48/AD45</f>
        <v>#DIV/0!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 t="e">
        <f>(AD23^2/AD21^2)*((1/AD5+1/AD6)+(AD28-AD11+AD12)^2/(AD15+AD16))</f>
        <v>#DIV/0!</v>
      </c>
      <c r="AF26" s="359">
        <f>COUNTIF(AP26:AU26,"&gt;0")</f>
        <v>0</v>
      </c>
      <c r="AG26" s="360">
        <f t="shared" ref="AG26:AG32" si="10">SUM(AP26:AU26)</f>
        <v>0</v>
      </c>
      <c r="AH26" s="360">
        <f t="shared" ref="AH26:AH32" si="11">AF26*AW26</f>
        <v>0</v>
      </c>
      <c r="AI26" s="360" t="e">
        <f t="shared" ref="AI26:AI32" si="12">AF26*(AW26-$AD$12)^2</f>
        <v>#DIV/0!</v>
      </c>
      <c r="AJ26" s="360">
        <f t="shared" ref="AJ26:AJ32" si="13">IF(AF26=0,0,+AF26*(AG26/AF26-$AD$14)^2)</f>
        <v>0</v>
      </c>
      <c r="AK26" s="360">
        <f t="shared" ref="AK26:AK32" si="14">IF(AF26=0,0,+AF26*(AG26/AF26-$AD$14)*(AW26-$AD$12))</f>
        <v>0</v>
      </c>
      <c r="AL26" s="361">
        <f t="shared" ref="AL26:AL32" si="15">AP26^2+AQ26^2+AR26^2+AS26^2+AT26^2+AU26^2</f>
        <v>0</v>
      </c>
      <c r="AN26" s="423" t="s">
        <v>143</v>
      </c>
      <c r="AO26" s="335"/>
      <c r="AP26" s="336"/>
      <c r="AQ26" s="336"/>
      <c r="AR26" s="336"/>
      <c r="AS26" s="336"/>
      <c r="AT26" s="336"/>
      <c r="AU26" s="336"/>
      <c r="AV26" s="337" t="str">
        <f t="shared" ref="AV26:AV32" si="16">IF(AO26&gt;0,AW26*$AD$48+$AD$49,"")</f>
        <v/>
      </c>
      <c r="AW26" s="336" t="str">
        <f t="shared" ref="AW26:AW32" si="17">IF(AO26&gt;0,LOG(AO26),"")</f>
        <v/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 t="e">
        <f>(AD23*AD22/AD21)*SQRT((1-AD24)*(1/AD6+1/AD5)+(AD28-AD11+AD12)^2/(AD15+AD16))</f>
        <v>#DIV/0!</v>
      </c>
      <c r="AF27" s="339">
        <f t="shared" ref="AF27:AF32" si="18">COUNTIF(AP27:AU27,"&gt;0")</f>
        <v>0</v>
      </c>
      <c r="AG27" s="348">
        <f t="shared" si="10"/>
        <v>0</v>
      </c>
      <c r="AH27" s="348">
        <f t="shared" si="11"/>
        <v>0</v>
      </c>
      <c r="AI27" s="348" t="e">
        <f t="shared" si="12"/>
        <v>#DIV/0!</v>
      </c>
      <c r="AJ27" s="348">
        <f t="shared" si="13"/>
        <v>0</v>
      </c>
      <c r="AK27" s="348">
        <f t="shared" si="14"/>
        <v>0</v>
      </c>
      <c r="AL27" s="349">
        <f t="shared" si="15"/>
        <v>0</v>
      </c>
      <c r="AN27" s="125"/>
      <c r="AO27" s="335"/>
      <c r="AP27" s="336"/>
      <c r="AQ27" s="336"/>
      <c r="AR27" s="336"/>
      <c r="AS27" s="336"/>
      <c r="AT27" s="336"/>
      <c r="AU27" s="336"/>
      <c r="AV27" s="337" t="str">
        <f t="shared" si="16"/>
        <v/>
      </c>
      <c r="AW27" s="336" t="str">
        <f t="shared" si="17"/>
        <v/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 t="e">
        <f>$AD$11-$AD$12-(AD13-AD14)/AD21</f>
        <v>#DIV/0!</v>
      </c>
      <c r="AF28" s="339">
        <f t="shared" si="18"/>
        <v>0</v>
      </c>
      <c r="AG28" s="348">
        <f t="shared" si="10"/>
        <v>0</v>
      </c>
      <c r="AH28" s="348">
        <f t="shared" si="11"/>
        <v>0</v>
      </c>
      <c r="AI28" s="348" t="e">
        <f t="shared" si="12"/>
        <v>#DIV/0!</v>
      </c>
      <c r="AJ28" s="348">
        <f t="shared" si="13"/>
        <v>0</v>
      </c>
      <c r="AK28" s="348">
        <f t="shared" si="14"/>
        <v>0</v>
      </c>
      <c r="AL28" s="349">
        <f t="shared" si="15"/>
        <v>0</v>
      </c>
      <c r="AN28" s="125"/>
      <c r="AO28" s="335"/>
      <c r="AP28" s="336"/>
      <c r="AQ28" s="336"/>
      <c r="AR28" s="336"/>
      <c r="AS28" s="336"/>
      <c r="AT28" s="336"/>
      <c r="AU28" s="336"/>
      <c r="AV28" s="337" t="str">
        <f t="shared" si="16"/>
        <v/>
      </c>
      <c r="AW28" s="336" t="str">
        <f t="shared" si="17"/>
        <v/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 t="e">
        <f>$AD$11-$AD$12+($AD$28-$AD$11+$AD$12+$AD$27)/(1-$AD$24)</f>
        <v>#DIV/0!</v>
      </c>
      <c r="AF29" s="339">
        <f t="shared" si="18"/>
        <v>0</v>
      </c>
      <c r="AG29" s="348">
        <f t="shared" si="10"/>
        <v>0</v>
      </c>
      <c r="AH29" s="348">
        <f t="shared" si="11"/>
        <v>0</v>
      </c>
      <c r="AI29" s="348" t="e">
        <f t="shared" si="12"/>
        <v>#DIV/0!</v>
      </c>
      <c r="AJ29" s="348">
        <f t="shared" si="13"/>
        <v>0</v>
      </c>
      <c r="AK29" s="348">
        <f t="shared" si="14"/>
        <v>0</v>
      </c>
      <c r="AL29" s="349">
        <f t="shared" si="15"/>
        <v>0</v>
      </c>
      <c r="AN29" s="125"/>
      <c r="AO29" s="335"/>
      <c r="AP29" s="336"/>
      <c r="AQ29" s="336"/>
      <c r="AR29" s="336"/>
      <c r="AS29" s="336"/>
      <c r="AT29" s="336"/>
      <c r="AU29" s="336"/>
      <c r="AV29" s="337" t="str">
        <f t="shared" si="16"/>
        <v/>
      </c>
      <c r="AW29" s="336" t="str">
        <f t="shared" si="17"/>
        <v/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 t="e">
        <f>$AD$11-$AD$12+($AD$28-$AD$11+$AD$12-$AD$27)/(1-$AD$24)</f>
        <v>#DIV/0!</v>
      </c>
      <c r="AF30" s="339">
        <f t="shared" si="18"/>
        <v>0</v>
      </c>
      <c r="AG30" s="348">
        <f t="shared" si="10"/>
        <v>0</v>
      </c>
      <c r="AH30" s="348">
        <f t="shared" si="11"/>
        <v>0</v>
      </c>
      <c r="AI30" s="348" t="e">
        <f t="shared" si="12"/>
        <v>#DIV/0!</v>
      </c>
      <c r="AJ30" s="348">
        <f t="shared" si="13"/>
        <v>0</v>
      </c>
      <c r="AK30" s="348">
        <f t="shared" si="14"/>
        <v>0</v>
      </c>
      <c r="AL30" s="349">
        <f t="shared" si="15"/>
        <v>0</v>
      </c>
      <c r="AN30" s="125"/>
      <c r="AO30" s="335"/>
      <c r="AP30" s="336"/>
      <c r="AQ30" s="336"/>
      <c r="AR30" s="336"/>
      <c r="AS30" s="336"/>
      <c r="AT30" s="336"/>
      <c r="AU30" s="336"/>
      <c r="AV30" s="337" t="str">
        <f t="shared" si="16"/>
        <v/>
      </c>
      <c r="AW30" s="336" t="str">
        <f t="shared" si="17"/>
        <v/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0</v>
      </c>
      <c r="AG31" s="348">
        <f t="shared" si="10"/>
        <v>0</v>
      </c>
      <c r="AH31" s="348">
        <f t="shared" si="11"/>
        <v>0</v>
      </c>
      <c r="AI31" s="348" t="e">
        <f t="shared" si="12"/>
        <v>#DIV/0!</v>
      </c>
      <c r="AJ31" s="348">
        <f t="shared" si="13"/>
        <v>0</v>
      </c>
      <c r="AK31" s="348">
        <f t="shared" si="14"/>
        <v>0</v>
      </c>
      <c r="AL31" s="349">
        <f t="shared" si="15"/>
        <v>0</v>
      </c>
      <c r="AN31" s="125"/>
      <c r="AO31" s="335"/>
      <c r="AP31" s="336"/>
      <c r="AQ31" s="336"/>
      <c r="AR31" s="336"/>
      <c r="AS31" s="336"/>
      <c r="AT31" s="336"/>
      <c r="AU31" s="336"/>
      <c r="AV31" s="337" t="str">
        <f t="shared" si="16"/>
        <v/>
      </c>
      <c r="AW31" s="336" t="str">
        <f t="shared" si="17"/>
        <v/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 t="e">
        <f t="shared" si="12"/>
        <v>#DIV/0!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 t="e">
        <f>AD7^2/AD5+AD8^2/AD6-(AD7+AD8)^2/(AD5+AD6)</f>
        <v>#DIV/0!</v>
      </c>
      <c r="AE35" s="387">
        <v>1</v>
      </c>
      <c r="AF35" s="388" t="e">
        <f>AD35</f>
        <v>#DIV/0!</v>
      </c>
      <c r="AG35" s="389" t="e">
        <f>AF35/$AF$41</f>
        <v>#DIV/0!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 t="e">
        <f>(AD17+AD18)^2/(AD15+AD16)</f>
        <v>#DIV/0!</v>
      </c>
      <c r="AE36" s="387">
        <v>1</v>
      </c>
      <c r="AF36" s="388" t="e">
        <f>AD36</f>
        <v>#DIV/0!</v>
      </c>
      <c r="AG36" s="389" t="e">
        <f>AF36/$AF$41</f>
        <v>#DIV/0!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 t="e">
        <f>(AD17)^2/AD15+AD18^2/AD16-(AD17+AD18)^2/(AD15+AD16)</f>
        <v>#DIV/0!</v>
      </c>
      <c r="AE37" s="387">
        <v>1</v>
      </c>
      <c r="AF37" s="388" t="e">
        <f>AD37</f>
        <v>#DIV/0!</v>
      </c>
      <c r="AG37" s="391" t="e">
        <f>AF37/$AF$41</f>
        <v>#DIV/0!</v>
      </c>
      <c r="AH37" s="392" t="e">
        <f>FINV(0.05,AE37,AE$41)</f>
        <v>#NUM!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 t="e">
        <f>AD19-AD17^2/AD15</f>
        <v>#DIV/0!</v>
      </c>
      <c r="AE38" s="406">
        <f>AD3-2</f>
        <v>-2</v>
      </c>
      <c r="AF38" s="407" t="e">
        <f>AD38/AE38</f>
        <v>#DIV/0!</v>
      </c>
      <c r="AG38" s="408" t="e">
        <f>AF38/$AF$41</f>
        <v>#DIV/0!</v>
      </c>
      <c r="AH38" s="409" t="e">
        <f>FINV(0.05,AE38,AE$41)</f>
        <v>#NUM!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 t="e">
        <f>AD20-AD18^2/AD16</f>
        <v>#DIV/0!</v>
      </c>
      <c r="AE39" s="410">
        <f>AD4-2</f>
        <v>-2</v>
      </c>
      <c r="AF39" s="411" t="e">
        <f>AD39/AE39</f>
        <v>#DIV/0!</v>
      </c>
      <c r="AG39" s="412" t="e">
        <f>AF39/$AF$41</f>
        <v>#DIV/0!</v>
      </c>
      <c r="AH39" s="413" t="e">
        <f>FINV(0.05,AE39,AE$41)</f>
        <v>#NUM!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 t="e">
        <f>AD43-AD35-AD36-AD37-AD38-AD39</f>
        <v>#DIV/0!</v>
      </c>
      <c r="AE41" s="387">
        <f>AE43-AE35-AE36-AE37-AE38-AE39</f>
        <v>0</v>
      </c>
      <c r="AF41" s="388" t="e">
        <f>AD41/AE41</f>
        <v>#DIV/0!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 t="e">
        <f>SUM(AL17:AL32)-(AD7+AD8)^2/(AD5+AD6)</f>
        <v>#DIV/0!</v>
      </c>
      <c r="AE43" s="398">
        <f>(AD6+AD5)-1</f>
        <v>-1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 t="e">
        <f>AD17/AD15</f>
        <v>#DIV/0!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 t="e">
        <f>AD13-AD45*AD11</f>
        <v>#DIV/0!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 t="e">
        <f>AD18/AD16</f>
        <v>#DIV/0!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 t="e">
        <f>AD14-AD48*AD12</f>
        <v>#DIV/0!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 t="e">
        <f>10^AD28</f>
        <v>#DIV/0!</v>
      </c>
      <c r="AD53" s="419" t="e">
        <f>10^AD30</f>
        <v>#DIV/0!</v>
      </c>
      <c r="AE53" s="420" t="e">
        <f>10^AD29</f>
        <v>#DIV/0!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 t="e">
        <f>$AD$53*$N$19</f>
        <v>#DIV/0!</v>
      </c>
      <c r="AE54" s="179" t="e">
        <f>$AE$53*$N$19</f>
        <v>#DIV/0!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 t="e">
        <f>(AD53-AC53)/AC53</f>
        <v>#DIV/0!</v>
      </c>
      <c r="AE55" s="422" t="e">
        <f>(AE53-AC53)/AC53</f>
        <v>#DIV/0!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44" priority="7" stopIfTrue="1" operator="greaterThan">
      <formula>$O$22</formula>
    </cfRule>
    <cfRule type="cellIs" dxfId="43" priority="8" stopIfTrue="1" operator="notBetween">
      <formula>0.9</formula>
      <formula>1.1</formula>
    </cfRule>
    <cfRule type="cellIs" dxfId="42" priority="9" stopIfTrue="1" operator="between">
      <formula>0.9</formula>
      <formula>1.1</formula>
    </cfRule>
  </conditionalFormatting>
  <conditionalFormatting sqref="N22">
    <cfRule type="cellIs" dxfId="41" priority="5" stopIfTrue="1" operator="lessThanOrEqual">
      <formula>$O$22</formula>
    </cfRule>
    <cfRule type="cellIs" dxfId="40" priority="6" stopIfTrue="1" operator="greaterThan">
      <formula>$O$22</formula>
    </cfRule>
  </conditionalFormatting>
  <conditionalFormatting sqref="N23">
    <cfRule type="cellIs" dxfId="39" priority="3" stopIfTrue="1" operator="lessThanOrEqual">
      <formula>$O$23</formula>
    </cfRule>
    <cfRule type="cellIs" dxfId="38" priority="4" stopIfTrue="1" operator="greaterThan">
      <formula>$O$23</formula>
    </cfRule>
  </conditionalFormatting>
  <conditionalFormatting sqref="N24">
    <cfRule type="cellIs" dxfId="37" priority="1" stopIfTrue="1" operator="greaterThan">
      <formula>$O$24</formula>
    </cfRule>
    <cfRule type="cellIs" dxfId="36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19458" r:id="rId4" name="RecalcSample1"/>
      </mc:Fallback>
    </mc:AlternateContent>
    <mc:AlternateContent xmlns:mc="http://schemas.openxmlformats.org/markup-compatibility/2006">
      <mc:Choice Requires="x14">
        <control shapeId="19457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19457" r:id="rId6" name="DixonButtonSample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14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0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0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0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0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0</v>
      </c>
    </row>
    <row r="8" spans="1:49" ht="12.75" customHeight="1" x14ac:dyDescent="0.2">
      <c r="A8" s="27"/>
      <c r="B8" s="55"/>
      <c r="C8" s="49">
        <v>1</v>
      </c>
      <c r="D8" s="563"/>
      <c r="E8" s="265"/>
      <c r="F8" s="265"/>
      <c r="G8" s="265"/>
      <c r="H8" s="265"/>
      <c r="I8" s="265"/>
      <c r="J8" s="265"/>
      <c r="K8" s="148"/>
      <c r="L8" s="29">
        <v>1</v>
      </c>
      <c r="M8" s="563"/>
      <c r="N8" s="265"/>
      <c r="O8" s="265"/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0</v>
      </c>
    </row>
    <row r="9" spans="1:49" ht="12.75" customHeight="1" x14ac:dyDescent="0.2">
      <c r="A9" s="27"/>
      <c r="B9" s="55"/>
      <c r="C9" s="49">
        <v>2</v>
      </c>
      <c r="D9" s="563"/>
      <c r="E9" s="265"/>
      <c r="F9" s="265"/>
      <c r="G9" s="265"/>
      <c r="H9" s="265"/>
      <c r="I9" s="265"/>
      <c r="J9" s="265"/>
      <c r="K9" s="148"/>
      <c r="L9" s="29">
        <v>2</v>
      </c>
      <c r="M9" s="563"/>
      <c r="N9" s="265"/>
      <c r="O9" s="265"/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0</v>
      </c>
    </row>
    <row r="10" spans="1:49" ht="12.75" customHeight="1" x14ac:dyDescent="0.2">
      <c r="A10" s="27"/>
      <c r="B10" s="55"/>
      <c r="C10" s="49">
        <v>3</v>
      </c>
      <c r="D10" s="563"/>
      <c r="E10" s="265"/>
      <c r="F10" s="265"/>
      <c r="G10" s="265"/>
      <c r="H10" s="265"/>
      <c r="I10" s="265"/>
      <c r="J10" s="265"/>
      <c r="K10" s="148"/>
      <c r="L10" s="29">
        <v>3</v>
      </c>
      <c r="M10" s="563"/>
      <c r="N10" s="265"/>
      <c r="O10" s="265"/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0</v>
      </c>
    </row>
    <row r="11" spans="1:49" ht="12.75" customHeight="1" x14ac:dyDescent="0.2">
      <c r="A11" s="27"/>
      <c r="B11" s="55"/>
      <c r="C11" s="49">
        <v>4</v>
      </c>
      <c r="D11" s="563"/>
      <c r="E11" s="265"/>
      <c r="F11" s="265"/>
      <c r="G11" s="265"/>
      <c r="H11" s="265"/>
      <c r="I11" s="265"/>
      <c r="J11" s="265"/>
      <c r="K11" s="148"/>
      <c r="L11" s="29">
        <v>4</v>
      </c>
      <c r="M11" s="563"/>
      <c r="N11" s="265"/>
      <c r="O11" s="265"/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 t="e">
        <f>AD9/AD5</f>
        <v>#DIV/0!</v>
      </c>
    </row>
    <row r="12" spans="1:49" ht="12.75" customHeight="1" x14ac:dyDescent="0.2">
      <c r="A12" s="27"/>
      <c r="B12" s="55"/>
      <c r="C12" s="49">
        <v>5</v>
      </c>
      <c r="D12" s="563"/>
      <c r="E12" s="265"/>
      <c r="F12" s="265"/>
      <c r="G12" s="265"/>
      <c r="H12" s="265"/>
      <c r="I12" s="265"/>
      <c r="J12" s="265"/>
      <c r="K12" s="148"/>
      <c r="L12" s="29">
        <v>5</v>
      </c>
      <c r="M12" s="563"/>
      <c r="N12" s="265"/>
      <c r="O12" s="265"/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 t="e">
        <f>AD10/AD6</f>
        <v>#DIV/0!</v>
      </c>
    </row>
    <row r="13" spans="1:49" ht="12.75" customHeight="1" x14ac:dyDescent="0.2">
      <c r="A13" s="27"/>
      <c r="B13" s="55"/>
      <c r="C13" s="49">
        <v>6</v>
      </c>
      <c r="D13" s="563"/>
      <c r="E13" s="266"/>
      <c r="F13" s="266"/>
      <c r="G13" s="266"/>
      <c r="H13" s="266"/>
      <c r="I13" s="265"/>
      <c r="J13" s="265"/>
      <c r="K13" s="267"/>
      <c r="L13" s="29">
        <v>6</v>
      </c>
      <c r="M13" s="563"/>
      <c r="N13" s="266"/>
      <c r="O13" s="266"/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 t="e">
        <f>AD7/AD5</f>
        <v>#DIV/0!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 t="e">
        <f>AD8/AD6</f>
        <v>#DIV/0!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 t="e">
        <f>SUM(AI17:AI23)</f>
        <v>#DIV/0!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 t="e">
        <f>SUM(AI26:AI32)</f>
        <v>#DIV/0!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0</v>
      </c>
      <c r="AF17" s="353">
        <f>COUNTIF(AP17:AU17,"&gt;0")</f>
        <v>0</v>
      </c>
      <c r="AG17" s="354">
        <f>SUM(AP17:AU17)</f>
        <v>0</v>
      </c>
      <c r="AH17" s="354">
        <f t="shared" ref="AH17:AH23" si="0">AF17*AW17</f>
        <v>0</v>
      </c>
      <c r="AI17" s="354" t="e">
        <f t="shared" ref="AI17:AI23" si="1">AF17*(AW17-$AD$11)^2</f>
        <v>#DIV/0!</v>
      </c>
      <c r="AJ17" s="354">
        <f t="shared" ref="AJ17:AJ23" si="2">IF(AF17=0,0,+AF17*(AG17/AF17-$AD$13)^2)</f>
        <v>0</v>
      </c>
      <c r="AK17" s="354">
        <f t="shared" ref="AK17:AK23" si="3">IF(AF17=0,0,+AF17*(AG17/AF17-$AD$13)*(AW17-$AD$11))</f>
        <v>0</v>
      </c>
      <c r="AL17" s="355">
        <f>AP17^2+AQ17^2+AR17^2+AS17^2+AT17^2+AU17^2</f>
        <v>0</v>
      </c>
      <c r="AN17" s="13" t="s">
        <v>53</v>
      </c>
      <c r="AO17" s="331"/>
      <c r="AP17" s="331"/>
      <c r="AQ17" s="331"/>
      <c r="AR17" s="331"/>
      <c r="AS17" s="331"/>
      <c r="AT17" s="331"/>
      <c r="AU17" s="331"/>
      <c r="AV17" s="332" t="str">
        <f t="shared" ref="AV17:AV23" si="4">IF(AO17&gt;0,AW17*$AD$45+$AD$46,"")</f>
        <v/>
      </c>
      <c r="AW17" s="331" t="str">
        <f t="shared" ref="AW17:AW23" si="5">IF(AO17&gt;0,LOG(AO17),"")</f>
        <v/>
      </c>
    </row>
    <row r="18" spans="1:49" ht="12.75" customHeight="1" x14ac:dyDescent="0.2">
      <c r="A18" s="27"/>
      <c r="B18" s="55"/>
      <c r="C18" s="46"/>
      <c r="D18" s="187" t="s">
        <v>106</v>
      </c>
      <c r="E18" s="45"/>
      <c r="F18" s="73"/>
      <c r="G18" s="73"/>
      <c r="H18" s="73"/>
      <c r="I18" s="73"/>
      <c r="J18" s="44"/>
      <c r="K18" s="34"/>
      <c r="L18" s="273"/>
      <c r="M18" s="284" t="s">
        <v>128</v>
      </c>
      <c r="N18" s="274"/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0</v>
      </c>
      <c r="AF18" s="340">
        <f t="shared" ref="AF18:AF23" si="6">COUNTIF(AP18:AU18,"&gt;0")</f>
        <v>0</v>
      </c>
      <c r="AG18" s="343">
        <f t="shared" ref="AG18:AG23" si="7">SUM(AP18:AU18)</f>
        <v>0</v>
      </c>
      <c r="AH18" s="343">
        <f t="shared" si="0"/>
        <v>0</v>
      </c>
      <c r="AI18" s="343" t="e">
        <f t="shared" si="1"/>
        <v>#DIV/0!</v>
      </c>
      <c r="AJ18" s="343">
        <f t="shared" si="2"/>
        <v>0</v>
      </c>
      <c r="AK18" s="343">
        <f t="shared" si="3"/>
        <v>0</v>
      </c>
      <c r="AL18" s="344">
        <f t="shared" ref="AL18:AL23" si="8">AP18^2+AQ18^2+AR18^2+AS18^2+AT18^2+AU18^2</f>
        <v>0</v>
      </c>
      <c r="AN18" s="124"/>
      <c r="AO18" s="331"/>
      <c r="AP18" s="331"/>
      <c r="AQ18" s="331"/>
      <c r="AR18" s="331"/>
      <c r="AS18" s="331"/>
      <c r="AT18" s="331"/>
      <c r="AU18" s="331"/>
      <c r="AV18" s="332" t="str">
        <f t="shared" si="4"/>
        <v/>
      </c>
      <c r="AW18" s="331" t="str">
        <f t="shared" si="5"/>
        <v/>
      </c>
    </row>
    <row r="19" spans="1:49" ht="12.75" customHeight="1" x14ac:dyDescent="0.2">
      <c r="A19" s="27"/>
      <c r="B19" s="55"/>
      <c r="C19" s="172"/>
      <c r="D19" s="186" t="s">
        <v>107</v>
      </c>
      <c r="E19" s="490" t="e">
        <f>AC53*N19</f>
        <v>#DIV/0!</v>
      </c>
      <c r="F19" s="74">
        <f>O19</f>
        <v>0</v>
      </c>
      <c r="G19" s="74"/>
      <c r="H19" s="74"/>
      <c r="I19" s="74"/>
      <c r="J19" s="75"/>
      <c r="K19" s="34"/>
      <c r="L19" s="278"/>
      <c r="M19" s="285" t="s">
        <v>129</v>
      </c>
      <c r="N19" s="269"/>
      <c r="O19" s="269"/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0</v>
      </c>
      <c r="AF19" s="340">
        <f t="shared" si="6"/>
        <v>0</v>
      </c>
      <c r="AG19" s="343">
        <f t="shared" si="7"/>
        <v>0</v>
      </c>
      <c r="AH19" s="343">
        <f t="shared" si="0"/>
        <v>0</v>
      </c>
      <c r="AI19" s="343" t="e">
        <f t="shared" si="1"/>
        <v>#DIV/0!</v>
      </c>
      <c r="AJ19" s="343">
        <f t="shared" si="2"/>
        <v>0</v>
      </c>
      <c r="AK19" s="343">
        <f t="shared" si="3"/>
        <v>0</v>
      </c>
      <c r="AL19" s="344">
        <f t="shared" si="8"/>
        <v>0</v>
      </c>
      <c r="AN19" s="124"/>
      <c r="AO19" s="331"/>
      <c r="AP19" s="331"/>
      <c r="AQ19" s="331"/>
      <c r="AR19" s="331"/>
      <c r="AS19" s="331"/>
      <c r="AT19" s="331"/>
      <c r="AU19" s="331"/>
      <c r="AV19" s="332" t="str">
        <f t="shared" si="4"/>
        <v/>
      </c>
      <c r="AW19" s="331" t="str">
        <f t="shared" si="5"/>
        <v/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e">
        <f>"("&amp;TEXT(MIN(AD54:AE54),"0.#0")&amp;" - "&amp;TEXT(MAX(AD54:AE54),"0.#0) ")&amp;"= +/-"</f>
        <v>#VALUE!</v>
      </c>
      <c r="F20" s="491"/>
      <c r="G20" s="131" t="e">
        <f>ABS((AD54-AE54)/(2*E19))</f>
        <v>#DIV/0!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0</v>
      </c>
      <c r="AF20" s="340">
        <f t="shared" si="6"/>
        <v>0</v>
      </c>
      <c r="AG20" s="343">
        <f t="shared" si="7"/>
        <v>0</v>
      </c>
      <c r="AH20" s="343">
        <f t="shared" si="0"/>
        <v>0</v>
      </c>
      <c r="AI20" s="343" t="e">
        <f t="shared" si="1"/>
        <v>#DIV/0!</v>
      </c>
      <c r="AJ20" s="343">
        <f t="shared" si="2"/>
        <v>0</v>
      </c>
      <c r="AK20" s="343">
        <f t="shared" si="3"/>
        <v>0</v>
      </c>
      <c r="AL20" s="344">
        <f t="shared" si="8"/>
        <v>0</v>
      </c>
      <c r="AN20" s="124"/>
      <c r="AO20" s="331"/>
      <c r="AP20" s="331"/>
      <c r="AQ20" s="331"/>
      <c r="AR20" s="331"/>
      <c r="AS20" s="331"/>
      <c r="AT20" s="331"/>
      <c r="AU20" s="331"/>
      <c r="AV20" s="332" t="str">
        <f t="shared" si="4"/>
        <v/>
      </c>
      <c r="AW20" s="331" t="str">
        <f t="shared" si="5"/>
        <v/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 t="e">
        <f>(AD17+AD18)/(AD15+AD16)</f>
        <v>#DIV/0!</v>
      </c>
      <c r="AF21" s="340">
        <f t="shared" si="6"/>
        <v>0</v>
      </c>
      <c r="AG21" s="343">
        <f t="shared" si="7"/>
        <v>0</v>
      </c>
      <c r="AH21" s="343">
        <f t="shared" si="0"/>
        <v>0</v>
      </c>
      <c r="AI21" s="343" t="e">
        <f t="shared" si="1"/>
        <v>#DIV/0!</v>
      </c>
      <c r="AJ21" s="343">
        <f t="shared" si="2"/>
        <v>0</v>
      </c>
      <c r="AK21" s="343">
        <f t="shared" si="3"/>
        <v>0</v>
      </c>
      <c r="AL21" s="344">
        <f t="shared" si="8"/>
        <v>0</v>
      </c>
      <c r="AN21" s="124"/>
      <c r="AO21" s="331"/>
      <c r="AP21" s="331"/>
      <c r="AQ21" s="331"/>
      <c r="AR21" s="331"/>
      <c r="AS21" s="331"/>
      <c r="AT21" s="331"/>
      <c r="AU21" s="331"/>
      <c r="AV21" s="332" t="str">
        <f t="shared" si="4"/>
        <v/>
      </c>
      <c r="AW21" s="331" t="str">
        <f t="shared" si="5"/>
        <v/>
      </c>
    </row>
    <row r="22" spans="1:49" ht="12.75" customHeight="1" x14ac:dyDescent="0.2">
      <c r="A22" s="27"/>
      <c r="B22" s="55"/>
      <c r="C22" s="43"/>
      <c r="D22" s="189" t="s">
        <v>105</v>
      </c>
      <c r="E22" s="589"/>
      <c r="F22" s="589"/>
      <c r="G22" s="118"/>
      <c r="H22" s="118"/>
      <c r="I22" s="118"/>
      <c r="J22" s="119"/>
      <c r="K22" s="34"/>
      <c r="L22" s="31" t="s">
        <v>46</v>
      </c>
      <c r="M22" s="425"/>
      <c r="N22" s="427" t="e">
        <f>AG37</f>
        <v>#DIV/0!</v>
      </c>
      <c r="O22" s="136" t="e">
        <f t="shared" ref="N22:O24" si="9">AH37</f>
        <v>#NUM!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 t="e">
        <f>TINV(0.05,AE41)</f>
        <v>#NUM!</v>
      </c>
      <c r="AF22" s="340">
        <f t="shared" si="6"/>
        <v>0</v>
      </c>
      <c r="AG22" s="343">
        <f t="shared" si="7"/>
        <v>0</v>
      </c>
      <c r="AH22" s="343">
        <f t="shared" si="0"/>
        <v>0</v>
      </c>
      <c r="AI22" s="343" t="e">
        <f t="shared" si="1"/>
        <v>#DIV/0!</v>
      </c>
      <c r="AJ22" s="343">
        <f t="shared" si="2"/>
        <v>0</v>
      </c>
      <c r="AK22" s="343">
        <f t="shared" si="3"/>
        <v>0</v>
      </c>
      <c r="AL22" s="344">
        <f t="shared" si="8"/>
        <v>0</v>
      </c>
      <c r="AN22" s="124"/>
      <c r="AO22" s="331"/>
      <c r="AP22" s="331"/>
      <c r="AQ22" s="331"/>
      <c r="AR22" s="331"/>
      <c r="AS22" s="331"/>
      <c r="AT22" s="331"/>
      <c r="AU22" s="331"/>
      <c r="AV22" s="332" t="str">
        <f t="shared" si="4"/>
        <v/>
      </c>
      <c r="AW22" s="331" t="str">
        <f t="shared" si="5"/>
        <v/>
      </c>
    </row>
    <row r="23" spans="1:49" ht="12.75" customHeight="1" x14ac:dyDescent="0.2">
      <c r="A23" s="27"/>
      <c r="B23" s="55"/>
      <c r="C23" s="77"/>
      <c r="D23" s="190" t="s">
        <v>104</v>
      </c>
      <c r="E23" s="586"/>
      <c r="F23" s="587"/>
      <c r="G23" s="587"/>
      <c r="H23" s="587"/>
      <c r="I23" s="587"/>
      <c r="J23" s="588"/>
      <c r="K23" s="34"/>
      <c r="L23" s="116" t="s">
        <v>71</v>
      </c>
      <c r="M23" s="89"/>
      <c r="N23" s="427" t="e">
        <f>AG38</f>
        <v>#DIV/0!</v>
      </c>
      <c r="O23" s="136" t="e">
        <f t="shared" si="9"/>
        <v>#NUM!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 t="e">
        <f>SQRT(AF41)</f>
        <v>#DIV/0!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 t="e">
        <f t="shared" si="1"/>
        <v>#DIV/0!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/>
      <c r="E24" s="181"/>
      <c r="F24" s="51"/>
      <c r="G24" s="183"/>
      <c r="H24" s="181"/>
      <c r="I24" s="120"/>
      <c r="J24" s="121"/>
      <c r="K24" s="34"/>
      <c r="L24" s="117" t="s">
        <v>72</v>
      </c>
      <c r="M24" s="426"/>
      <c r="N24" s="427" t="e">
        <f t="shared" si="9"/>
        <v>#DIV/0!</v>
      </c>
      <c r="O24" s="136" t="e">
        <f t="shared" si="9"/>
        <v>#NUM!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 t="e">
        <f>AD22^2*AD23^2/(AD21^2*(AD15+AD16))</f>
        <v>#NUM!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/>
      <c r="E25" s="182"/>
      <c r="F25" s="185"/>
      <c r="G25" s="184"/>
      <c r="H25" s="182"/>
      <c r="I25" s="122"/>
      <c r="J25" s="123"/>
      <c r="K25" s="34"/>
      <c r="L25" s="429" t="s">
        <v>159</v>
      </c>
      <c r="M25" s="430"/>
      <c r="N25" s="428" t="e">
        <f>AD48/AD45</f>
        <v>#DIV/0!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 t="e">
        <f>(AD23^2/AD21^2)*((1/AD5+1/AD6)+(AD28-AD11+AD12)^2/(AD15+AD16))</f>
        <v>#DIV/0!</v>
      </c>
      <c r="AF26" s="359">
        <f>COUNTIF(AP26:AU26,"&gt;0")</f>
        <v>0</v>
      </c>
      <c r="AG26" s="360">
        <f t="shared" ref="AG26:AG32" si="10">SUM(AP26:AU26)</f>
        <v>0</v>
      </c>
      <c r="AH26" s="360">
        <f t="shared" ref="AH26:AH32" si="11">AF26*AW26</f>
        <v>0</v>
      </c>
      <c r="AI26" s="360" t="e">
        <f t="shared" ref="AI26:AI32" si="12">AF26*(AW26-$AD$12)^2</f>
        <v>#DIV/0!</v>
      </c>
      <c r="AJ26" s="360">
        <f t="shared" ref="AJ26:AJ32" si="13">IF(AF26=0,0,+AF26*(AG26/AF26-$AD$14)^2)</f>
        <v>0</v>
      </c>
      <c r="AK26" s="360">
        <f t="shared" ref="AK26:AK32" si="14">IF(AF26=0,0,+AF26*(AG26/AF26-$AD$14)*(AW26-$AD$12))</f>
        <v>0</v>
      </c>
      <c r="AL26" s="361">
        <f t="shared" ref="AL26:AL32" si="15">AP26^2+AQ26^2+AR26^2+AS26^2+AT26^2+AU26^2</f>
        <v>0</v>
      </c>
      <c r="AN26" s="423" t="s">
        <v>143</v>
      </c>
      <c r="AO26" s="335"/>
      <c r="AP26" s="336"/>
      <c r="AQ26" s="336"/>
      <c r="AR26" s="336"/>
      <c r="AS26" s="336"/>
      <c r="AT26" s="336"/>
      <c r="AU26" s="336"/>
      <c r="AV26" s="337" t="str">
        <f t="shared" ref="AV26:AV32" si="16">IF(AO26&gt;0,AW26*$AD$48+$AD$49,"")</f>
        <v/>
      </c>
      <c r="AW26" s="336" t="str">
        <f t="shared" ref="AW26:AW32" si="17">IF(AO26&gt;0,LOG(AO26),"")</f>
        <v/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 t="e">
        <f>(AD23*AD22/AD21)*SQRT((1-AD24)*(1/AD6+1/AD5)+(AD28-AD11+AD12)^2/(AD15+AD16))</f>
        <v>#DIV/0!</v>
      </c>
      <c r="AF27" s="339">
        <f t="shared" ref="AF27:AF32" si="18">COUNTIF(AP27:AU27,"&gt;0")</f>
        <v>0</v>
      </c>
      <c r="AG27" s="348">
        <f t="shared" si="10"/>
        <v>0</v>
      </c>
      <c r="AH27" s="348">
        <f t="shared" si="11"/>
        <v>0</v>
      </c>
      <c r="AI27" s="348" t="e">
        <f t="shared" si="12"/>
        <v>#DIV/0!</v>
      </c>
      <c r="AJ27" s="348">
        <f t="shared" si="13"/>
        <v>0</v>
      </c>
      <c r="AK27" s="348">
        <f t="shared" si="14"/>
        <v>0</v>
      </c>
      <c r="AL27" s="349">
        <f t="shared" si="15"/>
        <v>0</v>
      </c>
      <c r="AN27" s="125"/>
      <c r="AO27" s="335"/>
      <c r="AP27" s="336"/>
      <c r="AQ27" s="336"/>
      <c r="AR27" s="336"/>
      <c r="AS27" s="336"/>
      <c r="AT27" s="336"/>
      <c r="AU27" s="336"/>
      <c r="AV27" s="337" t="str">
        <f t="shared" si="16"/>
        <v/>
      </c>
      <c r="AW27" s="336" t="str">
        <f t="shared" si="17"/>
        <v/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 t="e">
        <f>$AD$11-$AD$12-(AD13-AD14)/AD21</f>
        <v>#DIV/0!</v>
      </c>
      <c r="AF28" s="339">
        <f t="shared" si="18"/>
        <v>0</v>
      </c>
      <c r="AG28" s="348">
        <f t="shared" si="10"/>
        <v>0</v>
      </c>
      <c r="AH28" s="348">
        <f t="shared" si="11"/>
        <v>0</v>
      </c>
      <c r="AI28" s="348" t="e">
        <f t="shared" si="12"/>
        <v>#DIV/0!</v>
      </c>
      <c r="AJ28" s="348">
        <f t="shared" si="13"/>
        <v>0</v>
      </c>
      <c r="AK28" s="348">
        <f t="shared" si="14"/>
        <v>0</v>
      </c>
      <c r="AL28" s="349">
        <f t="shared" si="15"/>
        <v>0</v>
      </c>
      <c r="AN28" s="125"/>
      <c r="AO28" s="335"/>
      <c r="AP28" s="336"/>
      <c r="AQ28" s="336"/>
      <c r="AR28" s="336"/>
      <c r="AS28" s="336"/>
      <c r="AT28" s="336"/>
      <c r="AU28" s="336"/>
      <c r="AV28" s="337" t="str">
        <f t="shared" si="16"/>
        <v/>
      </c>
      <c r="AW28" s="336" t="str">
        <f t="shared" si="17"/>
        <v/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 t="e">
        <f>$AD$11-$AD$12+($AD$28-$AD$11+$AD$12+$AD$27)/(1-$AD$24)</f>
        <v>#DIV/0!</v>
      </c>
      <c r="AF29" s="339">
        <f t="shared" si="18"/>
        <v>0</v>
      </c>
      <c r="AG29" s="348">
        <f t="shared" si="10"/>
        <v>0</v>
      </c>
      <c r="AH29" s="348">
        <f t="shared" si="11"/>
        <v>0</v>
      </c>
      <c r="AI29" s="348" t="e">
        <f t="shared" si="12"/>
        <v>#DIV/0!</v>
      </c>
      <c r="AJ29" s="348">
        <f t="shared" si="13"/>
        <v>0</v>
      </c>
      <c r="AK29" s="348">
        <f t="shared" si="14"/>
        <v>0</v>
      </c>
      <c r="AL29" s="349">
        <f t="shared" si="15"/>
        <v>0</v>
      </c>
      <c r="AN29" s="125"/>
      <c r="AO29" s="335"/>
      <c r="AP29" s="336"/>
      <c r="AQ29" s="336"/>
      <c r="AR29" s="336"/>
      <c r="AS29" s="336"/>
      <c r="AT29" s="336"/>
      <c r="AU29" s="336"/>
      <c r="AV29" s="337" t="str">
        <f t="shared" si="16"/>
        <v/>
      </c>
      <c r="AW29" s="336" t="str">
        <f t="shared" si="17"/>
        <v/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 t="e">
        <f>$AD$11-$AD$12+($AD$28-$AD$11+$AD$12-$AD$27)/(1-$AD$24)</f>
        <v>#DIV/0!</v>
      </c>
      <c r="AF30" s="339">
        <f t="shared" si="18"/>
        <v>0</v>
      </c>
      <c r="AG30" s="348">
        <f t="shared" si="10"/>
        <v>0</v>
      </c>
      <c r="AH30" s="348">
        <f t="shared" si="11"/>
        <v>0</v>
      </c>
      <c r="AI30" s="348" t="e">
        <f t="shared" si="12"/>
        <v>#DIV/0!</v>
      </c>
      <c r="AJ30" s="348">
        <f t="shared" si="13"/>
        <v>0</v>
      </c>
      <c r="AK30" s="348">
        <f t="shared" si="14"/>
        <v>0</v>
      </c>
      <c r="AL30" s="349">
        <f t="shared" si="15"/>
        <v>0</v>
      </c>
      <c r="AN30" s="125"/>
      <c r="AO30" s="335"/>
      <c r="AP30" s="336"/>
      <c r="AQ30" s="336"/>
      <c r="AR30" s="336"/>
      <c r="AS30" s="336"/>
      <c r="AT30" s="336"/>
      <c r="AU30" s="336"/>
      <c r="AV30" s="337" t="str">
        <f t="shared" si="16"/>
        <v/>
      </c>
      <c r="AW30" s="336" t="str">
        <f t="shared" si="17"/>
        <v/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0</v>
      </c>
      <c r="AG31" s="348">
        <f t="shared" si="10"/>
        <v>0</v>
      </c>
      <c r="AH31" s="348">
        <f t="shared" si="11"/>
        <v>0</v>
      </c>
      <c r="AI31" s="348" t="e">
        <f t="shared" si="12"/>
        <v>#DIV/0!</v>
      </c>
      <c r="AJ31" s="348">
        <f t="shared" si="13"/>
        <v>0</v>
      </c>
      <c r="AK31" s="348">
        <f t="shared" si="14"/>
        <v>0</v>
      </c>
      <c r="AL31" s="349">
        <f t="shared" si="15"/>
        <v>0</v>
      </c>
      <c r="AN31" s="125"/>
      <c r="AO31" s="335"/>
      <c r="AP31" s="336"/>
      <c r="AQ31" s="336"/>
      <c r="AR31" s="336"/>
      <c r="AS31" s="336"/>
      <c r="AT31" s="336"/>
      <c r="AU31" s="336"/>
      <c r="AV31" s="337" t="str">
        <f t="shared" si="16"/>
        <v/>
      </c>
      <c r="AW31" s="336" t="str">
        <f t="shared" si="17"/>
        <v/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 t="e">
        <f t="shared" si="12"/>
        <v>#DIV/0!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 t="e">
        <f>AD7^2/AD5+AD8^2/AD6-(AD7+AD8)^2/(AD5+AD6)</f>
        <v>#DIV/0!</v>
      </c>
      <c r="AE35" s="387">
        <v>1</v>
      </c>
      <c r="AF35" s="388" t="e">
        <f>AD35</f>
        <v>#DIV/0!</v>
      </c>
      <c r="AG35" s="389" t="e">
        <f>AF35/$AF$41</f>
        <v>#DIV/0!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 t="e">
        <f>(AD17+AD18)^2/(AD15+AD16)</f>
        <v>#DIV/0!</v>
      </c>
      <c r="AE36" s="387">
        <v>1</v>
      </c>
      <c r="AF36" s="388" t="e">
        <f>AD36</f>
        <v>#DIV/0!</v>
      </c>
      <c r="AG36" s="389" t="e">
        <f>AF36/$AF$41</f>
        <v>#DIV/0!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 t="e">
        <f>(AD17)^2/AD15+AD18^2/AD16-(AD17+AD18)^2/(AD15+AD16)</f>
        <v>#DIV/0!</v>
      </c>
      <c r="AE37" s="387">
        <v>1</v>
      </c>
      <c r="AF37" s="388" t="e">
        <f>AD37</f>
        <v>#DIV/0!</v>
      </c>
      <c r="AG37" s="391" t="e">
        <f>AF37/$AF$41</f>
        <v>#DIV/0!</v>
      </c>
      <c r="AH37" s="392" t="e">
        <f>FINV(0.05,AE37,AE$41)</f>
        <v>#NUM!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 t="e">
        <f>AD19-AD17^2/AD15</f>
        <v>#DIV/0!</v>
      </c>
      <c r="AE38" s="406">
        <f>AD3-2</f>
        <v>-2</v>
      </c>
      <c r="AF38" s="407" t="e">
        <f>AD38/AE38</f>
        <v>#DIV/0!</v>
      </c>
      <c r="AG38" s="408" t="e">
        <f>AF38/$AF$41</f>
        <v>#DIV/0!</v>
      </c>
      <c r="AH38" s="409" t="e">
        <f>FINV(0.05,AE38,AE$41)</f>
        <v>#NUM!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 t="e">
        <f>AD20-AD18^2/AD16</f>
        <v>#DIV/0!</v>
      </c>
      <c r="AE39" s="410">
        <f>AD4-2</f>
        <v>-2</v>
      </c>
      <c r="AF39" s="411" t="e">
        <f>AD39/AE39</f>
        <v>#DIV/0!</v>
      </c>
      <c r="AG39" s="412" t="e">
        <f>AF39/$AF$41</f>
        <v>#DIV/0!</v>
      </c>
      <c r="AH39" s="413" t="e">
        <f>FINV(0.05,AE39,AE$41)</f>
        <v>#NUM!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 t="e">
        <f>AD43-AD35-AD36-AD37-AD38-AD39</f>
        <v>#DIV/0!</v>
      </c>
      <c r="AE41" s="387">
        <f>AE43-AE35-AE36-AE37-AE38-AE39</f>
        <v>0</v>
      </c>
      <c r="AF41" s="388" t="e">
        <f>AD41/AE41</f>
        <v>#DIV/0!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 t="e">
        <f>SUM(AL17:AL32)-(AD7+AD8)^2/(AD5+AD6)</f>
        <v>#DIV/0!</v>
      </c>
      <c r="AE43" s="398">
        <f>(AD6+AD5)-1</f>
        <v>-1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 t="e">
        <f>AD17/AD15</f>
        <v>#DIV/0!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 t="e">
        <f>AD13-AD45*AD11</f>
        <v>#DIV/0!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 t="e">
        <f>AD18/AD16</f>
        <v>#DIV/0!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 t="e">
        <f>AD14-AD48*AD12</f>
        <v>#DIV/0!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 t="e">
        <f>10^AD28</f>
        <v>#DIV/0!</v>
      </c>
      <c r="AD53" s="419" t="e">
        <f>10^AD30</f>
        <v>#DIV/0!</v>
      </c>
      <c r="AE53" s="420" t="e">
        <f>10^AD29</f>
        <v>#DIV/0!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 t="e">
        <f>$AD$53*$N$19</f>
        <v>#DIV/0!</v>
      </c>
      <c r="AE54" s="179" t="e">
        <f>$AE$53*$N$19</f>
        <v>#DIV/0!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 t="e">
        <f>(AD53-AC53)/AC53</f>
        <v>#DIV/0!</v>
      </c>
      <c r="AE55" s="422" t="e">
        <f>(AE53-AC53)/AC53</f>
        <v>#DIV/0!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35" priority="7" stopIfTrue="1" operator="greaterThan">
      <formula>$O$22</formula>
    </cfRule>
    <cfRule type="cellIs" dxfId="34" priority="8" stopIfTrue="1" operator="notBetween">
      <formula>0.9</formula>
      <formula>1.1</formula>
    </cfRule>
    <cfRule type="cellIs" dxfId="33" priority="9" stopIfTrue="1" operator="between">
      <formula>0.9</formula>
      <formula>1.1</formula>
    </cfRule>
  </conditionalFormatting>
  <conditionalFormatting sqref="N22">
    <cfRule type="cellIs" dxfId="32" priority="5" stopIfTrue="1" operator="lessThanOrEqual">
      <formula>$O$22</formula>
    </cfRule>
    <cfRule type="cellIs" dxfId="31" priority="6" stopIfTrue="1" operator="greaterThan">
      <formula>$O$22</formula>
    </cfRule>
  </conditionalFormatting>
  <conditionalFormatting sqref="N23">
    <cfRule type="cellIs" dxfId="30" priority="3" stopIfTrue="1" operator="lessThanOrEqual">
      <formula>$O$23</formula>
    </cfRule>
    <cfRule type="cellIs" dxfId="29" priority="4" stopIfTrue="1" operator="greaterThan">
      <formula>$O$23</formula>
    </cfRule>
  </conditionalFormatting>
  <conditionalFormatting sqref="N24">
    <cfRule type="cellIs" dxfId="28" priority="1" stopIfTrue="1" operator="greaterThan">
      <formula>$O$24</formula>
    </cfRule>
    <cfRule type="cellIs" dxfId="27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20482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20482" r:id="rId4" name="RecalcSample1"/>
      </mc:Fallback>
    </mc:AlternateContent>
    <mc:AlternateContent xmlns:mc="http://schemas.openxmlformats.org/markup-compatibility/2006">
      <mc:Choice Requires="x14">
        <control shapeId="20481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20481" r:id="rId6" name="DixonButtonSample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15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0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0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0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0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0</v>
      </c>
    </row>
    <row r="8" spans="1:49" ht="12.75" customHeight="1" x14ac:dyDescent="0.2">
      <c r="A8" s="27"/>
      <c r="B8" s="55"/>
      <c r="C8" s="49">
        <v>1</v>
      </c>
      <c r="D8" s="563"/>
      <c r="E8" s="265"/>
      <c r="F8" s="265"/>
      <c r="G8" s="265"/>
      <c r="H8" s="265"/>
      <c r="I8" s="265"/>
      <c r="J8" s="265"/>
      <c r="K8" s="148"/>
      <c r="L8" s="29">
        <v>1</v>
      </c>
      <c r="M8" s="563"/>
      <c r="N8" s="265"/>
      <c r="O8" s="265"/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0</v>
      </c>
    </row>
    <row r="9" spans="1:49" ht="12.75" customHeight="1" x14ac:dyDescent="0.2">
      <c r="A9" s="27"/>
      <c r="B9" s="55"/>
      <c r="C9" s="49">
        <v>2</v>
      </c>
      <c r="D9" s="563"/>
      <c r="E9" s="265"/>
      <c r="F9" s="265"/>
      <c r="G9" s="265"/>
      <c r="H9" s="265"/>
      <c r="I9" s="265"/>
      <c r="J9" s="265"/>
      <c r="K9" s="148"/>
      <c r="L9" s="29">
        <v>2</v>
      </c>
      <c r="M9" s="563"/>
      <c r="N9" s="265"/>
      <c r="O9" s="265"/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0</v>
      </c>
    </row>
    <row r="10" spans="1:49" ht="12.75" customHeight="1" x14ac:dyDescent="0.2">
      <c r="A10" s="27"/>
      <c r="B10" s="55"/>
      <c r="C10" s="49">
        <v>3</v>
      </c>
      <c r="D10" s="563"/>
      <c r="E10" s="265"/>
      <c r="F10" s="265"/>
      <c r="G10" s="265"/>
      <c r="H10" s="265"/>
      <c r="I10" s="265"/>
      <c r="J10" s="265"/>
      <c r="K10" s="148"/>
      <c r="L10" s="29">
        <v>3</v>
      </c>
      <c r="M10" s="563"/>
      <c r="N10" s="265"/>
      <c r="O10" s="265"/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0</v>
      </c>
    </row>
    <row r="11" spans="1:49" ht="12.75" customHeight="1" x14ac:dyDescent="0.2">
      <c r="A11" s="27"/>
      <c r="B11" s="55"/>
      <c r="C11" s="49">
        <v>4</v>
      </c>
      <c r="D11" s="563"/>
      <c r="E11" s="265"/>
      <c r="F11" s="265"/>
      <c r="G11" s="265"/>
      <c r="H11" s="265"/>
      <c r="I11" s="265"/>
      <c r="J11" s="265"/>
      <c r="K11" s="148"/>
      <c r="L11" s="29">
        <v>4</v>
      </c>
      <c r="M11" s="563"/>
      <c r="N11" s="265"/>
      <c r="O11" s="265"/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 t="e">
        <f>AD9/AD5</f>
        <v>#DIV/0!</v>
      </c>
    </row>
    <row r="12" spans="1:49" ht="12.75" customHeight="1" x14ac:dyDescent="0.2">
      <c r="A12" s="27"/>
      <c r="B12" s="55"/>
      <c r="C12" s="49">
        <v>5</v>
      </c>
      <c r="D12" s="563"/>
      <c r="E12" s="265"/>
      <c r="F12" s="265"/>
      <c r="G12" s="265"/>
      <c r="H12" s="265"/>
      <c r="I12" s="265"/>
      <c r="J12" s="265"/>
      <c r="K12" s="148"/>
      <c r="L12" s="29">
        <v>5</v>
      </c>
      <c r="M12" s="563"/>
      <c r="N12" s="265"/>
      <c r="O12" s="265"/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 t="e">
        <f>AD10/AD6</f>
        <v>#DIV/0!</v>
      </c>
    </row>
    <row r="13" spans="1:49" ht="12.75" customHeight="1" x14ac:dyDescent="0.2">
      <c r="A13" s="27"/>
      <c r="B13" s="55"/>
      <c r="C13" s="49">
        <v>6</v>
      </c>
      <c r="D13" s="563"/>
      <c r="E13" s="266"/>
      <c r="F13" s="266"/>
      <c r="G13" s="266"/>
      <c r="H13" s="266"/>
      <c r="I13" s="265"/>
      <c r="J13" s="265"/>
      <c r="K13" s="267"/>
      <c r="L13" s="29">
        <v>6</v>
      </c>
      <c r="M13" s="563"/>
      <c r="N13" s="266"/>
      <c r="O13" s="266"/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 t="e">
        <f>AD7/AD5</f>
        <v>#DIV/0!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 t="e">
        <f>AD8/AD6</f>
        <v>#DIV/0!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 t="e">
        <f>SUM(AI17:AI23)</f>
        <v>#DIV/0!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 t="e">
        <f>SUM(AI26:AI32)</f>
        <v>#DIV/0!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0</v>
      </c>
      <c r="AF17" s="353">
        <f>COUNTIF(AP17:AU17,"&gt;0")</f>
        <v>0</v>
      </c>
      <c r="AG17" s="354">
        <f>SUM(AP17:AU17)</f>
        <v>0</v>
      </c>
      <c r="AH17" s="354">
        <f t="shared" ref="AH17:AH23" si="0">AF17*AW17</f>
        <v>0</v>
      </c>
      <c r="AI17" s="354" t="e">
        <f t="shared" ref="AI17:AI23" si="1">AF17*(AW17-$AD$11)^2</f>
        <v>#DIV/0!</v>
      </c>
      <c r="AJ17" s="354">
        <f t="shared" ref="AJ17:AJ23" si="2">IF(AF17=0,0,+AF17*(AG17/AF17-$AD$13)^2)</f>
        <v>0</v>
      </c>
      <c r="AK17" s="354">
        <f t="shared" ref="AK17:AK23" si="3">IF(AF17=0,0,+AF17*(AG17/AF17-$AD$13)*(AW17-$AD$11))</f>
        <v>0</v>
      </c>
      <c r="AL17" s="355">
        <f>AP17^2+AQ17^2+AR17^2+AS17^2+AT17^2+AU17^2</f>
        <v>0</v>
      </c>
      <c r="AN17" s="13" t="s">
        <v>53</v>
      </c>
      <c r="AO17" s="331"/>
      <c r="AP17" s="331"/>
      <c r="AQ17" s="331"/>
      <c r="AR17" s="331"/>
      <c r="AS17" s="331"/>
      <c r="AT17" s="331"/>
      <c r="AU17" s="331"/>
      <c r="AV17" s="332" t="str">
        <f t="shared" ref="AV17:AV23" si="4">IF(AO17&gt;0,AW17*$AD$45+$AD$46,"")</f>
        <v/>
      </c>
      <c r="AW17" s="331" t="str">
        <f t="shared" ref="AW17:AW23" si="5">IF(AO17&gt;0,LOG(AO17),"")</f>
        <v/>
      </c>
    </row>
    <row r="18" spans="1:49" ht="12.75" customHeight="1" x14ac:dyDescent="0.2">
      <c r="A18" s="27"/>
      <c r="B18" s="55"/>
      <c r="C18" s="46"/>
      <c r="D18" s="187" t="s">
        <v>106</v>
      </c>
      <c r="E18" s="45"/>
      <c r="F18" s="73"/>
      <c r="G18" s="73"/>
      <c r="H18" s="73"/>
      <c r="I18" s="73"/>
      <c r="J18" s="44"/>
      <c r="K18" s="34"/>
      <c r="L18" s="273"/>
      <c r="M18" s="284" t="s">
        <v>128</v>
      </c>
      <c r="N18" s="274"/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0</v>
      </c>
      <c r="AF18" s="340">
        <f t="shared" ref="AF18:AF23" si="6">COUNTIF(AP18:AU18,"&gt;0")</f>
        <v>0</v>
      </c>
      <c r="AG18" s="343">
        <f t="shared" ref="AG18:AG23" si="7">SUM(AP18:AU18)</f>
        <v>0</v>
      </c>
      <c r="AH18" s="343">
        <f t="shared" si="0"/>
        <v>0</v>
      </c>
      <c r="AI18" s="343" t="e">
        <f t="shared" si="1"/>
        <v>#DIV/0!</v>
      </c>
      <c r="AJ18" s="343">
        <f t="shared" si="2"/>
        <v>0</v>
      </c>
      <c r="AK18" s="343">
        <f t="shared" si="3"/>
        <v>0</v>
      </c>
      <c r="AL18" s="344">
        <f t="shared" ref="AL18:AL23" si="8">AP18^2+AQ18^2+AR18^2+AS18^2+AT18^2+AU18^2</f>
        <v>0</v>
      </c>
      <c r="AN18" s="124"/>
      <c r="AO18" s="331"/>
      <c r="AP18" s="331"/>
      <c r="AQ18" s="331"/>
      <c r="AR18" s="331"/>
      <c r="AS18" s="331"/>
      <c r="AT18" s="331"/>
      <c r="AU18" s="331"/>
      <c r="AV18" s="332" t="str">
        <f t="shared" si="4"/>
        <v/>
      </c>
      <c r="AW18" s="331" t="str">
        <f t="shared" si="5"/>
        <v/>
      </c>
    </row>
    <row r="19" spans="1:49" ht="12.75" customHeight="1" x14ac:dyDescent="0.2">
      <c r="A19" s="27"/>
      <c r="B19" s="55"/>
      <c r="C19" s="172"/>
      <c r="D19" s="186" t="s">
        <v>107</v>
      </c>
      <c r="E19" s="490" t="e">
        <f>AC53*N19</f>
        <v>#DIV/0!</v>
      </c>
      <c r="F19" s="74">
        <f>O19</f>
        <v>0</v>
      </c>
      <c r="G19" s="74"/>
      <c r="H19" s="74"/>
      <c r="I19" s="74"/>
      <c r="J19" s="75"/>
      <c r="K19" s="34"/>
      <c r="L19" s="278"/>
      <c r="M19" s="285" t="s">
        <v>129</v>
      </c>
      <c r="N19" s="269"/>
      <c r="O19" s="269"/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0</v>
      </c>
      <c r="AF19" s="340">
        <f t="shared" si="6"/>
        <v>0</v>
      </c>
      <c r="AG19" s="343">
        <f t="shared" si="7"/>
        <v>0</v>
      </c>
      <c r="AH19" s="343">
        <f t="shared" si="0"/>
        <v>0</v>
      </c>
      <c r="AI19" s="343" t="e">
        <f t="shared" si="1"/>
        <v>#DIV/0!</v>
      </c>
      <c r="AJ19" s="343">
        <f t="shared" si="2"/>
        <v>0</v>
      </c>
      <c r="AK19" s="343">
        <f t="shared" si="3"/>
        <v>0</v>
      </c>
      <c r="AL19" s="344">
        <f t="shared" si="8"/>
        <v>0</v>
      </c>
      <c r="AN19" s="124"/>
      <c r="AO19" s="331"/>
      <c r="AP19" s="331"/>
      <c r="AQ19" s="331"/>
      <c r="AR19" s="331"/>
      <c r="AS19" s="331"/>
      <c r="AT19" s="331"/>
      <c r="AU19" s="331"/>
      <c r="AV19" s="332" t="str">
        <f t="shared" si="4"/>
        <v/>
      </c>
      <c r="AW19" s="331" t="str">
        <f t="shared" si="5"/>
        <v/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e">
        <f>"("&amp;TEXT(MIN(AD54:AE54),"0.#0")&amp;" - "&amp;TEXT(MAX(AD54:AE54),"0.#0) ")&amp;"= +/-"</f>
        <v>#VALUE!</v>
      </c>
      <c r="F20" s="491"/>
      <c r="G20" s="131" t="e">
        <f>ABS((AD54-AE54)/(2*E19))</f>
        <v>#DIV/0!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0</v>
      </c>
      <c r="AF20" s="340">
        <f t="shared" si="6"/>
        <v>0</v>
      </c>
      <c r="AG20" s="343">
        <f t="shared" si="7"/>
        <v>0</v>
      </c>
      <c r="AH20" s="343">
        <f t="shared" si="0"/>
        <v>0</v>
      </c>
      <c r="AI20" s="343" t="e">
        <f t="shared" si="1"/>
        <v>#DIV/0!</v>
      </c>
      <c r="AJ20" s="343">
        <f t="shared" si="2"/>
        <v>0</v>
      </c>
      <c r="AK20" s="343">
        <f t="shared" si="3"/>
        <v>0</v>
      </c>
      <c r="AL20" s="344">
        <f t="shared" si="8"/>
        <v>0</v>
      </c>
      <c r="AN20" s="124"/>
      <c r="AO20" s="331"/>
      <c r="AP20" s="331"/>
      <c r="AQ20" s="331"/>
      <c r="AR20" s="331"/>
      <c r="AS20" s="331"/>
      <c r="AT20" s="331"/>
      <c r="AU20" s="331"/>
      <c r="AV20" s="332" t="str">
        <f t="shared" si="4"/>
        <v/>
      </c>
      <c r="AW20" s="331" t="str">
        <f t="shared" si="5"/>
        <v/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 t="e">
        <f>(AD17+AD18)/(AD15+AD16)</f>
        <v>#DIV/0!</v>
      </c>
      <c r="AF21" s="340">
        <f t="shared" si="6"/>
        <v>0</v>
      </c>
      <c r="AG21" s="343">
        <f t="shared" si="7"/>
        <v>0</v>
      </c>
      <c r="AH21" s="343">
        <f t="shared" si="0"/>
        <v>0</v>
      </c>
      <c r="AI21" s="343" t="e">
        <f t="shared" si="1"/>
        <v>#DIV/0!</v>
      </c>
      <c r="AJ21" s="343">
        <f t="shared" si="2"/>
        <v>0</v>
      </c>
      <c r="AK21" s="343">
        <f t="shared" si="3"/>
        <v>0</v>
      </c>
      <c r="AL21" s="344">
        <f t="shared" si="8"/>
        <v>0</v>
      </c>
      <c r="AN21" s="124"/>
      <c r="AO21" s="331"/>
      <c r="AP21" s="331"/>
      <c r="AQ21" s="331"/>
      <c r="AR21" s="331"/>
      <c r="AS21" s="331"/>
      <c r="AT21" s="331"/>
      <c r="AU21" s="331"/>
      <c r="AV21" s="332" t="str">
        <f t="shared" si="4"/>
        <v/>
      </c>
      <c r="AW21" s="331" t="str">
        <f t="shared" si="5"/>
        <v/>
      </c>
    </row>
    <row r="22" spans="1:49" ht="12.75" customHeight="1" x14ac:dyDescent="0.2">
      <c r="A22" s="27"/>
      <c r="B22" s="55"/>
      <c r="C22" s="43"/>
      <c r="D22" s="189" t="s">
        <v>105</v>
      </c>
      <c r="E22" s="589"/>
      <c r="F22" s="589"/>
      <c r="G22" s="118"/>
      <c r="H22" s="118"/>
      <c r="I22" s="118"/>
      <c r="J22" s="119"/>
      <c r="K22" s="34"/>
      <c r="L22" s="31" t="s">
        <v>46</v>
      </c>
      <c r="M22" s="425"/>
      <c r="N22" s="427" t="e">
        <f>AG37</f>
        <v>#DIV/0!</v>
      </c>
      <c r="O22" s="136" t="e">
        <f t="shared" ref="N22:O24" si="9">AH37</f>
        <v>#NUM!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 t="e">
        <f>TINV(0.05,AE41)</f>
        <v>#NUM!</v>
      </c>
      <c r="AF22" s="340">
        <f t="shared" si="6"/>
        <v>0</v>
      </c>
      <c r="AG22" s="343">
        <f t="shared" si="7"/>
        <v>0</v>
      </c>
      <c r="AH22" s="343">
        <f t="shared" si="0"/>
        <v>0</v>
      </c>
      <c r="AI22" s="343" t="e">
        <f t="shared" si="1"/>
        <v>#DIV/0!</v>
      </c>
      <c r="AJ22" s="343">
        <f t="shared" si="2"/>
        <v>0</v>
      </c>
      <c r="AK22" s="343">
        <f t="shared" si="3"/>
        <v>0</v>
      </c>
      <c r="AL22" s="344">
        <f t="shared" si="8"/>
        <v>0</v>
      </c>
      <c r="AN22" s="124"/>
      <c r="AO22" s="331"/>
      <c r="AP22" s="331"/>
      <c r="AQ22" s="331"/>
      <c r="AR22" s="331"/>
      <c r="AS22" s="331"/>
      <c r="AT22" s="331"/>
      <c r="AU22" s="331"/>
      <c r="AV22" s="332" t="str">
        <f t="shared" si="4"/>
        <v/>
      </c>
      <c r="AW22" s="331" t="str">
        <f t="shared" si="5"/>
        <v/>
      </c>
    </row>
    <row r="23" spans="1:49" ht="12.75" customHeight="1" x14ac:dyDescent="0.2">
      <c r="A23" s="27"/>
      <c r="B23" s="55"/>
      <c r="C23" s="77"/>
      <c r="D23" s="190" t="s">
        <v>104</v>
      </c>
      <c r="E23" s="586"/>
      <c r="F23" s="587"/>
      <c r="G23" s="587"/>
      <c r="H23" s="587"/>
      <c r="I23" s="587"/>
      <c r="J23" s="588"/>
      <c r="K23" s="34"/>
      <c r="L23" s="116" t="s">
        <v>71</v>
      </c>
      <c r="M23" s="89"/>
      <c r="N23" s="427" t="e">
        <f>AG38</f>
        <v>#DIV/0!</v>
      </c>
      <c r="O23" s="136" t="e">
        <f t="shared" si="9"/>
        <v>#NUM!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 t="e">
        <f>SQRT(AF41)</f>
        <v>#DIV/0!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 t="e">
        <f t="shared" si="1"/>
        <v>#DIV/0!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/>
      <c r="E24" s="181"/>
      <c r="F24" s="51"/>
      <c r="G24" s="183"/>
      <c r="H24" s="181"/>
      <c r="I24" s="120"/>
      <c r="J24" s="121"/>
      <c r="K24" s="34"/>
      <c r="L24" s="117" t="s">
        <v>72</v>
      </c>
      <c r="M24" s="426"/>
      <c r="N24" s="427" t="e">
        <f t="shared" si="9"/>
        <v>#DIV/0!</v>
      </c>
      <c r="O24" s="136" t="e">
        <f t="shared" si="9"/>
        <v>#NUM!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 t="e">
        <f>AD22^2*AD23^2/(AD21^2*(AD15+AD16))</f>
        <v>#NUM!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/>
      <c r="E25" s="182"/>
      <c r="F25" s="185"/>
      <c r="G25" s="184"/>
      <c r="H25" s="182"/>
      <c r="I25" s="122"/>
      <c r="J25" s="123"/>
      <c r="K25" s="34"/>
      <c r="L25" s="429" t="s">
        <v>159</v>
      </c>
      <c r="M25" s="430"/>
      <c r="N25" s="428" t="e">
        <f>AD48/AD45</f>
        <v>#DIV/0!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 t="e">
        <f>(AD23^2/AD21^2)*((1/AD5+1/AD6)+(AD28-AD11+AD12)^2/(AD15+AD16))</f>
        <v>#DIV/0!</v>
      </c>
      <c r="AF26" s="359">
        <f>COUNTIF(AP26:AU26,"&gt;0")</f>
        <v>0</v>
      </c>
      <c r="AG26" s="360">
        <f t="shared" ref="AG26:AG32" si="10">SUM(AP26:AU26)</f>
        <v>0</v>
      </c>
      <c r="AH26" s="360">
        <f t="shared" ref="AH26:AH32" si="11">AF26*AW26</f>
        <v>0</v>
      </c>
      <c r="AI26" s="360" t="e">
        <f t="shared" ref="AI26:AI32" si="12">AF26*(AW26-$AD$12)^2</f>
        <v>#DIV/0!</v>
      </c>
      <c r="AJ26" s="360">
        <f t="shared" ref="AJ26:AJ32" si="13">IF(AF26=0,0,+AF26*(AG26/AF26-$AD$14)^2)</f>
        <v>0</v>
      </c>
      <c r="AK26" s="360">
        <f t="shared" ref="AK26:AK32" si="14">IF(AF26=0,0,+AF26*(AG26/AF26-$AD$14)*(AW26-$AD$12))</f>
        <v>0</v>
      </c>
      <c r="AL26" s="361">
        <f t="shared" ref="AL26:AL32" si="15">AP26^2+AQ26^2+AR26^2+AS26^2+AT26^2+AU26^2</f>
        <v>0</v>
      </c>
      <c r="AN26" s="423" t="s">
        <v>143</v>
      </c>
      <c r="AO26" s="335"/>
      <c r="AP26" s="336"/>
      <c r="AQ26" s="336"/>
      <c r="AR26" s="336"/>
      <c r="AS26" s="336"/>
      <c r="AT26" s="336"/>
      <c r="AU26" s="336"/>
      <c r="AV26" s="337" t="str">
        <f t="shared" ref="AV26:AV32" si="16">IF(AO26&gt;0,AW26*$AD$48+$AD$49,"")</f>
        <v/>
      </c>
      <c r="AW26" s="336" t="str">
        <f t="shared" ref="AW26:AW32" si="17">IF(AO26&gt;0,LOG(AO26),"")</f>
        <v/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 t="e">
        <f>(AD23*AD22/AD21)*SQRT((1-AD24)*(1/AD6+1/AD5)+(AD28-AD11+AD12)^2/(AD15+AD16))</f>
        <v>#DIV/0!</v>
      </c>
      <c r="AF27" s="339">
        <f t="shared" ref="AF27:AF32" si="18">COUNTIF(AP27:AU27,"&gt;0")</f>
        <v>0</v>
      </c>
      <c r="AG27" s="348">
        <f t="shared" si="10"/>
        <v>0</v>
      </c>
      <c r="AH27" s="348">
        <f t="shared" si="11"/>
        <v>0</v>
      </c>
      <c r="AI27" s="348" t="e">
        <f t="shared" si="12"/>
        <v>#DIV/0!</v>
      </c>
      <c r="AJ27" s="348">
        <f t="shared" si="13"/>
        <v>0</v>
      </c>
      <c r="AK27" s="348">
        <f t="shared" si="14"/>
        <v>0</v>
      </c>
      <c r="AL27" s="349">
        <f t="shared" si="15"/>
        <v>0</v>
      </c>
      <c r="AN27" s="125"/>
      <c r="AO27" s="335"/>
      <c r="AP27" s="336"/>
      <c r="AQ27" s="336"/>
      <c r="AR27" s="336"/>
      <c r="AS27" s="336"/>
      <c r="AT27" s="336"/>
      <c r="AU27" s="336"/>
      <c r="AV27" s="337" t="str">
        <f t="shared" si="16"/>
        <v/>
      </c>
      <c r="AW27" s="336" t="str">
        <f t="shared" si="17"/>
        <v/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 t="e">
        <f>$AD$11-$AD$12-(AD13-AD14)/AD21</f>
        <v>#DIV/0!</v>
      </c>
      <c r="AF28" s="339">
        <f t="shared" si="18"/>
        <v>0</v>
      </c>
      <c r="AG28" s="348">
        <f t="shared" si="10"/>
        <v>0</v>
      </c>
      <c r="AH28" s="348">
        <f t="shared" si="11"/>
        <v>0</v>
      </c>
      <c r="AI28" s="348" t="e">
        <f t="shared" si="12"/>
        <v>#DIV/0!</v>
      </c>
      <c r="AJ28" s="348">
        <f t="shared" si="13"/>
        <v>0</v>
      </c>
      <c r="AK28" s="348">
        <f t="shared" si="14"/>
        <v>0</v>
      </c>
      <c r="AL28" s="349">
        <f t="shared" si="15"/>
        <v>0</v>
      </c>
      <c r="AN28" s="125"/>
      <c r="AO28" s="335"/>
      <c r="AP28" s="336"/>
      <c r="AQ28" s="336"/>
      <c r="AR28" s="336"/>
      <c r="AS28" s="336"/>
      <c r="AT28" s="336"/>
      <c r="AU28" s="336"/>
      <c r="AV28" s="337" t="str">
        <f t="shared" si="16"/>
        <v/>
      </c>
      <c r="AW28" s="336" t="str">
        <f t="shared" si="17"/>
        <v/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 t="e">
        <f>$AD$11-$AD$12+($AD$28-$AD$11+$AD$12+$AD$27)/(1-$AD$24)</f>
        <v>#DIV/0!</v>
      </c>
      <c r="AF29" s="339">
        <f t="shared" si="18"/>
        <v>0</v>
      </c>
      <c r="AG29" s="348">
        <f t="shared" si="10"/>
        <v>0</v>
      </c>
      <c r="AH29" s="348">
        <f t="shared" si="11"/>
        <v>0</v>
      </c>
      <c r="AI29" s="348" t="e">
        <f t="shared" si="12"/>
        <v>#DIV/0!</v>
      </c>
      <c r="AJ29" s="348">
        <f t="shared" si="13"/>
        <v>0</v>
      </c>
      <c r="AK29" s="348">
        <f t="shared" si="14"/>
        <v>0</v>
      </c>
      <c r="AL29" s="349">
        <f t="shared" si="15"/>
        <v>0</v>
      </c>
      <c r="AN29" s="125"/>
      <c r="AO29" s="335"/>
      <c r="AP29" s="336"/>
      <c r="AQ29" s="336"/>
      <c r="AR29" s="336"/>
      <c r="AS29" s="336"/>
      <c r="AT29" s="336"/>
      <c r="AU29" s="336"/>
      <c r="AV29" s="337" t="str">
        <f t="shared" si="16"/>
        <v/>
      </c>
      <c r="AW29" s="336" t="str">
        <f t="shared" si="17"/>
        <v/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 t="e">
        <f>$AD$11-$AD$12+($AD$28-$AD$11+$AD$12-$AD$27)/(1-$AD$24)</f>
        <v>#DIV/0!</v>
      </c>
      <c r="AF30" s="339">
        <f t="shared" si="18"/>
        <v>0</v>
      </c>
      <c r="AG30" s="348">
        <f t="shared" si="10"/>
        <v>0</v>
      </c>
      <c r="AH30" s="348">
        <f t="shared" si="11"/>
        <v>0</v>
      </c>
      <c r="AI30" s="348" t="e">
        <f t="shared" si="12"/>
        <v>#DIV/0!</v>
      </c>
      <c r="AJ30" s="348">
        <f t="shared" si="13"/>
        <v>0</v>
      </c>
      <c r="AK30" s="348">
        <f t="shared" si="14"/>
        <v>0</v>
      </c>
      <c r="AL30" s="349">
        <f t="shared" si="15"/>
        <v>0</v>
      </c>
      <c r="AN30" s="125"/>
      <c r="AO30" s="335"/>
      <c r="AP30" s="336"/>
      <c r="AQ30" s="336"/>
      <c r="AR30" s="336"/>
      <c r="AS30" s="336"/>
      <c r="AT30" s="336"/>
      <c r="AU30" s="336"/>
      <c r="AV30" s="337" t="str">
        <f t="shared" si="16"/>
        <v/>
      </c>
      <c r="AW30" s="336" t="str">
        <f t="shared" si="17"/>
        <v/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0</v>
      </c>
      <c r="AG31" s="348">
        <f t="shared" si="10"/>
        <v>0</v>
      </c>
      <c r="AH31" s="348">
        <f t="shared" si="11"/>
        <v>0</v>
      </c>
      <c r="AI31" s="348" t="e">
        <f t="shared" si="12"/>
        <v>#DIV/0!</v>
      </c>
      <c r="AJ31" s="348">
        <f t="shared" si="13"/>
        <v>0</v>
      </c>
      <c r="AK31" s="348">
        <f t="shared" si="14"/>
        <v>0</v>
      </c>
      <c r="AL31" s="349">
        <f t="shared" si="15"/>
        <v>0</v>
      </c>
      <c r="AN31" s="125"/>
      <c r="AO31" s="335"/>
      <c r="AP31" s="336"/>
      <c r="AQ31" s="336"/>
      <c r="AR31" s="336"/>
      <c r="AS31" s="336"/>
      <c r="AT31" s="336"/>
      <c r="AU31" s="336"/>
      <c r="AV31" s="337" t="str">
        <f t="shared" si="16"/>
        <v/>
      </c>
      <c r="AW31" s="336" t="str">
        <f t="shared" si="17"/>
        <v/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 t="e">
        <f t="shared" si="12"/>
        <v>#DIV/0!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 t="e">
        <f>AD7^2/AD5+AD8^2/AD6-(AD7+AD8)^2/(AD5+AD6)</f>
        <v>#DIV/0!</v>
      </c>
      <c r="AE35" s="387">
        <v>1</v>
      </c>
      <c r="AF35" s="388" t="e">
        <f>AD35</f>
        <v>#DIV/0!</v>
      </c>
      <c r="AG35" s="389" t="e">
        <f>AF35/$AF$41</f>
        <v>#DIV/0!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 t="e">
        <f>(AD17+AD18)^2/(AD15+AD16)</f>
        <v>#DIV/0!</v>
      </c>
      <c r="AE36" s="387">
        <v>1</v>
      </c>
      <c r="AF36" s="388" t="e">
        <f>AD36</f>
        <v>#DIV/0!</v>
      </c>
      <c r="AG36" s="389" t="e">
        <f>AF36/$AF$41</f>
        <v>#DIV/0!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 t="e">
        <f>(AD17)^2/AD15+AD18^2/AD16-(AD17+AD18)^2/(AD15+AD16)</f>
        <v>#DIV/0!</v>
      </c>
      <c r="AE37" s="387">
        <v>1</v>
      </c>
      <c r="AF37" s="388" t="e">
        <f>AD37</f>
        <v>#DIV/0!</v>
      </c>
      <c r="AG37" s="391" t="e">
        <f>AF37/$AF$41</f>
        <v>#DIV/0!</v>
      </c>
      <c r="AH37" s="392" t="e">
        <f>FINV(0.05,AE37,AE$41)</f>
        <v>#NUM!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 t="e">
        <f>AD19-AD17^2/AD15</f>
        <v>#DIV/0!</v>
      </c>
      <c r="AE38" s="406">
        <f>AD3-2</f>
        <v>-2</v>
      </c>
      <c r="AF38" s="407" t="e">
        <f>AD38/AE38</f>
        <v>#DIV/0!</v>
      </c>
      <c r="AG38" s="408" t="e">
        <f>AF38/$AF$41</f>
        <v>#DIV/0!</v>
      </c>
      <c r="AH38" s="409" t="e">
        <f>FINV(0.05,AE38,AE$41)</f>
        <v>#NUM!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 t="e">
        <f>AD20-AD18^2/AD16</f>
        <v>#DIV/0!</v>
      </c>
      <c r="AE39" s="410">
        <f>AD4-2</f>
        <v>-2</v>
      </c>
      <c r="AF39" s="411" t="e">
        <f>AD39/AE39</f>
        <v>#DIV/0!</v>
      </c>
      <c r="AG39" s="412" t="e">
        <f>AF39/$AF$41</f>
        <v>#DIV/0!</v>
      </c>
      <c r="AH39" s="413" t="e">
        <f>FINV(0.05,AE39,AE$41)</f>
        <v>#NUM!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 t="e">
        <f>AD43-AD35-AD36-AD37-AD38-AD39</f>
        <v>#DIV/0!</v>
      </c>
      <c r="AE41" s="387">
        <f>AE43-AE35-AE36-AE37-AE38-AE39</f>
        <v>0</v>
      </c>
      <c r="AF41" s="388" t="e">
        <f>AD41/AE41</f>
        <v>#DIV/0!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 t="e">
        <f>SUM(AL17:AL32)-(AD7+AD8)^2/(AD5+AD6)</f>
        <v>#DIV/0!</v>
      </c>
      <c r="AE43" s="398">
        <f>(AD6+AD5)-1</f>
        <v>-1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 t="e">
        <f>AD17/AD15</f>
        <v>#DIV/0!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 t="e">
        <f>AD13-AD45*AD11</f>
        <v>#DIV/0!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 t="e">
        <f>AD18/AD16</f>
        <v>#DIV/0!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 t="e">
        <f>AD14-AD48*AD12</f>
        <v>#DIV/0!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 t="e">
        <f>10^AD28</f>
        <v>#DIV/0!</v>
      </c>
      <c r="AD53" s="419" t="e">
        <f>10^AD30</f>
        <v>#DIV/0!</v>
      </c>
      <c r="AE53" s="420" t="e">
        <f>10^AD29</f>
        <v>#DIV/0!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 t="e">
        <f>$AD$53*$N$19</f>
        <v>#DIV/0!</v>
      </c>
      <c r="AE54" s="179" t="e">
        <f>$AE$53*$N$19</f>
        <v>#DIV/0!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 t="e">
        <f>(AD53-AC53)/AC53</f>
        <v>#DIV/0!</v>
      </c>
      <c r="AE55" s="422" t="e">
        <f>(AE53-AC53)/AC53</f>
        <v>#DIV/0!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26" priority="7" stopIfTrue="1" operator="greaterThan">
      <formula>$O$22</formula>
    </cfRule>
    <cfRule type="cellIs" dxfId="25" priority="8" stopIfTrue="1" operator="notBetween">
      <formula>0.9</formula>
      <formula>1.1</formula>
    </cfRule>
    <cfRule type="cellIs" dxfId="24" priority="9" stopIfTrue="1" operator="between">
      <formula>0.9</formula>
      <formula>1.1</formula>
    </cfRule>
  </conditionalFormatting>
  <conditionalFormatting sqref="N22">
    <cfRule type="cellIs" dxfId="23" priority="5" stopIfTrue="1" operator="lessThanOrEqual">
      <formula>$O$22</formula>
    </cfRule>
    <cfRule type="cellIs" dxfId="22" priority="6" stopIfTrue="1" operator="greaterThan">
      <formula>$O$22</formula>
    </cfRule>
  </conditionalFormatting>
  <conditionalFormatting sqref="N23">
    <cfRule type="cellIs" dxfId="21" priority="3" stopIfTrue="1" operator="lessThanOrEqual">
      <formula>$O$23</formula>
    </cfRule>
    <cfRule type="cellIs" dxfId="20" priority="4" stopIfTrue="1" operator="greaterThan">
      <formula>$O$23</formula>
    </cfRule>
  </conditionalFormatting>
  <conditionalFormatting sqref="N24">
    <cfRule type="cellIs" dxfId="19" priority="1" stopIfTrue="1" operator="greaterThan">
      <formula>$O$24</formula>
    </cfRule>
    <cfRule type="cellIs" dxfId="18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21506" r:id="rId4" name="RecalcSample1"/>
      </mc:Fallback>
    </mc:AlternateContent>
    <mc:AlternateContent xmlns:mc="http://schemas.openxmlformats.org/markup-compatibility/2006">
      <mc:Choice Requires="x14">
        <control shapeId="21505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21505" r:id="rId6" name="DixonButtonSample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16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0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0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0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0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0</v>
      </c>
    </row>
    <row r="8" spans="1:49" ht="12.75" customHeight="1" x14ac:dyDescent="0.2">
      <c r="A8" s="27"/>
      <c r="B8" s="55"/>
      <c r="C8" s="49">
        <v>1</v>
      </c>
      <c r="D8" s="563"/>
      <c r="E8" s="265"/>
      <c r="F8" s="265"/>
      <c r="G8" s="265"/>
      <c r="H8" s="265"/>
      <c r="I8" s="265"/>
      <c r="J8" s="265"/>
      <c r="K8" s="148"/>
      <c r="L8" s="29">
        <v>1</v>
      </c>
      <c r="M8" s="563"/>
      <c r="N8" s="265"/>
      <c r="O8" s="265"/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0</v>
      </c>
    </row>
    <row r="9" spans="1:49" ht="12.75" customHeight="1" x14ac:dyDescent="0.2">
      <c r="A9" s="27"/>
      <c r="B9" s="55"/>
      <c r="C9" s="49">
        <v>2</v>
      </c>
      <c r="D9" s="563"/>
      <c r="E9" s="265"/>
      <c r="F9" s="265"/>
      <c r="G9" s="265"/>
      <c r="H9" s="265"/>
      <c r="I9" s="265"/>
      <c r="J9" s="265"/>
      <c r="K9" s="148"/>
      <c r="L9" s="29">
        <v>2</v>
      </c>
      <c r="M9" s="563"/>
      <c r="N9" s="265"/>
      <c r="O9" s="265"/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0</v>
      </c>
    </row>
    <row r="10" spans="1:49" ht="12.75" customHeight="1" x14ac:dyDescent="0.2">
      <c r="A10" s="27"/>
      <c r="B10" s="55"/>
      <c r="C10" s="49">
        <v>3</v>
      </c>
      <c r="D10" s="563"/>
      <c r="E10" s="265"/>
      <c r="F10" s="265"/>
      <c r="G10" s="265"/>
      <c r="H10" s="265"/>
      <c r="I10" s="265"/>
      <c r="J10" s="265"/>
      <c r="K10" s="148"/>
      <c r="L10" s="29">
        <v>3</v>
      </c>
      <c r="M10" s="563"/>
      <c r="N10" s="265"/>
      <c r="O10" s="265"/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0</v>
      </c>
    </row>
    <row r="11" spans="1:49" ht="12.75" customHeight="1" x14ac:dyDescent="0.2">
      <c r="A11" s="27"/>
      <c r="B11" s="55"/>
      <c r="C11" s="49">
        <v>4</v>
      </c>
      <c r="D11" s="563"/>
      <c r="E11" s="265"/>
      <c r="F11" s="265"/>
      <c r="G11" s="265"/>
      <c r="H11" s="265"/>
      <c r="I11" s="265"/>
      <c r="J11" s="265"/>
      <c r="K11" s="148"/>
      <c r="L11" s="29">
        <v>4</v>
      </c>
      <c r="M11" s="563"/>
      <c r="N11" s="265"/>
      <c r="O11" s="265"/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 t="e">
        <f>AD9/AD5</f>
        <v>#DIV/0!</v>
      </c>
    </row>
    <row r="12" spans="1:49" ht="12.75" customHeight="1" x14ac:dyDescent="0.2">
      <c r="A12" s="27"/>
      <c r="B12" s="55"/>
      <c r="C12" s="49">
        <v>5</v>
      </c>
      <c r="D12" s="563"/>
      <c r="E12" s="265"/>
      <c r="F12" s="265"/>
      <c r="G12" s="265"/>
      <c r="H12" s="265"/>
      <c r="I12" s="265"/>
      <c r="J12" s="265"/>
      <c r="K12" s="148"/>
      <c r="L12" s="29">
        <v>5</v>
      </c>
      <c r="M12" s="563"/>
      <c r="N12" s="265"/>
      <c r="O12" s="265"/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 t="e">
        <f>AD10/AD6</f>
        <v>#DIV/0!</v>
      </c>
    </row>
    <row r="13" spans="1:49" ht="12.75" customHeight="1" x14ac:dyDescent="0.2">
      <c r="A13" s="27"/>
      <c r="B13" s="55"/>
      <c r="C13" s="49">
        <v>6</v>
      </c>
      <c r="D13" s="563"/>
      <c r="E13" s="266"/>
      <c r="F13" s="266"/>
      <c r="G13" s="266"/>
      <c r="H13" s="266"/>
      <c r="I13" s="265"/>
      <c r="J13" s="265"/>
      <c r="K13" s="267"/>
      <c r="L13" s="29">
        <v>6</v>
      </c>
      <c r="M13" s="563"/>
      <c r="N13" s="266"/>
      <c r="O13" s="266"/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 t="e">
        <f>AD7/AD5</f>
        <v>#DIV/0!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 t="e">
        <f>AD8/AD6</f>
        <v>#DIV/0!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 t="e">
        <f>SUM(AI17:AI23)</f>
        <v>#DIV/0!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 t="e">
        <f>SUM(AI26:AI32)</f>
        <v>#DIV/0!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0</v>
      </c>
      <c r="AF17" s="353">
        <f>COUNTIF(AP17:AU17,"&gt;0")</f>
        <v>0</v>
      </c>
      <c r="AG17" s="354">
        <f>SUM(AP17:AU17)</f>
        <v>0</v>
      </c>
      <c r="AH17" s="354">
        <f t="shared" ref="AH17:AH23" si="0">AF17*AW17</f>
        <v>0</v>
      </c>
      <c r="AI17" s="354" t="e">
        <f t="shared" ref="AI17:AI23" si="1">AF17*(AW17-$AD$11)^2</f>
        <v>#DIV/0!</v>
      </c>
      <c r="AJ17" s="354">
        <f t="shared" ref="AJ17:AJ23" si="2">IF(AF17=0,0,+AF17*(AG17/AF17-$AD$13)^2)</f>
        <v>0</v>
      </c>
      <c r="AK17" s="354">
        <f t="shared" ref="AK17:AK23" si="3">IF(AF17=0,0,+AF17*(AG17/AF17-$AD$13)*(AW17-$AD$11))</f>
        <v>0</v>
      </c>
      <c r="AL17" s="355">
        <f>AP17^2+AQ17^2+AR17^2+AS17^2+AT17^2+AU17^2</f>
        <v>0</v>
      </c>
      <c r="AN17" s="13" t="s">
        <v>53</v>
      </c>
      <c r="AO17" s="331"/>
      <c r="AP17" s="331"/>
      <c r="AQ17" s="331"/>
      <c r="AR17" s="331"/>
      <c r="AS17" s="331"/>
      <c r="AT17" s="331"/>
      <c r="AU17" s="331"/>
      <c r="AV17" s="332" t="str">
        <f t="shared" ref="AV17:AV23" si="4">IF(AO17&gt;0,AW17*$AD$45+$AD$46,"")</f>
        <v/>
      </c>
      <c r="AW17" s="331" t="str">
        <f t="shared" ref="AW17:AW23" si="5">IF(AO17&gt;0,LOG(AO17),"")</f>
        <v/>
      </c>
    </row>
    <row r="18" spans="1:49" ht="12.75" customHeight="1" x14ac:dyDescent="0.2">
      <c r="A18" s="27"/>
      <c r="B18" s="55"/>
      <c r="C18" s="46"/>
      <c r="D18" s="187" t="s">
        <v>106</v>
      </c>
      <c r="E18" s="45"/>
      <c r="F18" s="73"/>
      <c r="G18" s="73"/>
      <c r="H18" s="73"/>
      <c r="I18" s="73"/>
      <c r="J18" s="44"/>
      <c r="K18" s="34"/>
      <c r="L18" s="273"/>
      <c r="M18" s="284" t="s">
        <v>128</v>
      </c>
      <c r="N18" s="274"/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0</v>
      </c>
      <c r="AF18" s="340">
        <f t="shared" ref="AF18:AF23" si="6">COUNTIF(AP18:AU18,"&gt;0")</f>
        <v>0</v>
      </c>
      <c r="AG18" s="343">
        <f t="shared" ref="AG18:AG23" si="7">SUM(AP18:AU18)</f>
        <v>0</v>
      </c>
      <c r="AH18" s="343">
        <f t="shared" si="0"/>
        <v>0</v>
      </c>
      <c r="AI18" s="343" t="e">
        <f t="shared" si="1"/>
        <v>#DIV/0!</v>
      </c>
      <c r="AJ18" s="343">
        <f t="shared" si="2"/>
        <v>0</v>
      </c>
      <c r="AK18" s="343">
        <f t="shared" si="3"/>
        <v>0</v>
      </c>
      <c r="AL18" s="344">
        <f t="shared" ref="AL18:AL23" si="8">AP18^2+AQ18^2+AR18^2+AS18^2+AT18^2+AU18^2</f>
        <v>0</v>
      </c>
      <c r="AN18" s="124"/>
      <c r="AO18" s="331"/>
      <c r="AP18" s="331"/>
      <c r="AQ18" s="331"/>
      <c r="AR18" s="331"/>
      <c r="AS18" s="331"/>
      <c r="AT18" s="331"/>
      <c r="AU18" s="331"/>
      <c r="AV18" s="332" t="str">
        <f t="shared" si="4"/>
        <v/>
      </c>
      <c r="AW18" s="331" t="str">
        <f t="shared" si="5"/>
        <v/>
      </c>
    </row>
    <row r="19" spans="1:49" ht="12.75" customHeight="1" x14ac:dyDescent="0.2">
      <c r="A19" s="27"/>
      <c r="B19" s="55"/>
      <c r="C19" s="172"/>
      <c r="D19" s="186" t="s">
        <v>107</v>
      </c>
      <c r="E19" s="490" t="e">
        <f>AC53*N19</f>
        <v>#DIV/0!</v>
      </c>
      <c r="F19" s="74">
        <f>O19</f>
        <v>0</v>
      </c>
      <c r="G19" s="74"/>
      <c r="H19" s="74"/>
      <c r="I19" s="74"/>
      <c r="J19" s="75"/>
      <c r="K19" s="34"/>
      <c r="L19" s="278"/>
      <c r="M19" s="285" t="s">
        <v>129</v>
      </c>
      <c r="N19" s="269"/>
      <c r="O19" s="269"/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0</v>
      </c>
      <c r="AF19" s="340">
        <f t="shared" si="6"/>
        <v>0</v>
      </c>
      <c r="AG19" s="343">
        <f t="shared" si="7"/>
        <v>0</v>
      </c>
      <c r="AH19" s="343">
        <f t="shared" si="0"/>
        <v>0</v>
      </c>
      <c r="AI19" s="343" t="e">
        <f t="shared" si="1"/>
        <v>#DIV/0!</v>
      </c>
      <c r="AJ19" s="343">
        <f t="shared" si="2"/>
        <v>0</v>
      </c>
      <c r="AK19" s="343">
        <f t="shared" si="3"/>
        <v>0</v>
      </c>
      <c r="AL19" s="344">
        <f t="shared" si="8"/>
        <v>0</v>
      </c>
      <c r="AN19" s="124"/>
      <c r="AO19" s="331"/>
      <c r="AP19" s="331"/>
      <c r="AQ19" s="331"/>
      <c r="AR19" s="331"/>
      <c r="AS19" s="331"/>
      <c r="AT19" s="331"/>
      <c r="AU19" s="331"/>
      <c r="AV19" s="332" t="str">
        <f t="shared" si="4"/>
        <v/>
      </c>
      <c r="AW19" s="331" t="str">
        <f t="shared" si="5"/>
        <v/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e">
        <f>"("&amp;TEXT(MIN(AD54:AE54),"0.#0")&amp;" - "&amp;TEXT(MAX(AD54:AE54),"0.#0) ")&amp;"= +/-"</f>
        <v>#VALUE!</v>
      </c>
      <c r="F20" s="491"/>
      <c r="G20" s="131" t="e">
        <f>ABS((AD54-AE54)/(2*E19))</f>
        <v>#DIV/0!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0</v>
      </c>
      <c r="AF20" s="340">
        <f t="shared" si="6"/>
        <v>0</v>
      </c>
      <c r="AG20" s="343">
        <f t="shared" si="7"/>
        <v>0</v>
      </c>
      <c r="AH20" s="343">
        <f t="shared" si="0"/>
        <v>0</v>
      </c>
      <c r="AI20" s="343" t="e">
        <f t="shared" si="1"/>
        <v>#DIV/0!</v>
      </c>
      <c r="AJ20" s="343">
        <f t="shared" si="2"/>
        <v>0</v>
      </c>
      <c r="AK20" s="343">
        <f t="shared" si="3"/>
        <v>0</v>
      </c>
      <c r="AL20" s="344">
        <f t="shared" si="8"/>
        <v>0</v>
      </c>
      <c r="AN20" s="124"/>
      <c r="AO20" s="331"/>
      <c r="AP20" s="331"/>
      <c r="AQ20" s="331"/>
      <c r="AR20" s="331"/>
      <c r="AS20" s="331"/>
      <c r="AT20" s="331"/>
      <c r="AU20" s="331"/>
      <c r="AV20" s="332" t="str">
        <f t="shared" si="4"/>
        <v/>
      </c>
      <c r="AW20" s="331" t="str">
        <f t="shared" si="5"/>
        <v/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 t="e">
        <f>(AD17+AD18)/(AD15+AD16)</f>
        <v>#DIV/0!</v>
      </c>
      <c r="AF21" s="340">
        <f t="shared" si="6"/>
        <v>0</v>
      </c>
      <c r="AG21" s="343">
        <f t="shared" si="7"/>
        <v>0</v>
      </c>
      <c r="AH21" s="343">
        <f t="shared" si="0"/>
        <v>0</v>
      </c>
      <c r="AI21" s="343" t="e">
        <f t="shared" si="1"/>
        <v>#DIV/0!</v>
      </c>
      <c r="AJ21" s="343">
        <f t="shared" si="2"/>
        <v>0</v>
      </c>
      <c r="AK21" s="343">
        <f t="shared" si="3"/>
        <v>0</v>
      </c>
      <c r="AL21" s="344">
        <f t="shared" si="8"/>
        <v>0</v>
      </c>
      <c r="AN21" s="124"/>
      <c r="AO21" s="331"/>
      <c r="AP21" s="331"/>
      <c r="AQ21" s="331"/>
      <c r="AR21" s="331"/>
      <c r="AS21" s="331"/>
      <c r="AT21" s="331"/>
      <c r="AU21" s="331"/>
      <c r="AV21" s="332" t="str">
        <f t="shared" si="4"/>
        <v/>
      </c>
      <c r="AW21" s="331" t="str">
        <f t="shared" si="5"/>
        <v/>
      </c>
    </row>
    <row r="22" spans="1:49" ht="12.75" customHeight="1" x14ac:dyDescent="0.2">
      <c r="A22" s="27"/>
      <c r="B22" s="55"/>
      <c r="C22" s="43"/>
      <c r="D22" s="189" t="s">
        <v>105</v>
      </c>
      <c r="E22" s="589"/>
      <c r="F22" s="589"/>
      <c r="G22" s="118"/>
      <c r="H22" s="118"/>
      <c r="I22" s="118"/>
      <c r="J22" s="119"/>
      <c r="K22" s="34"/>
      <c r="L22" s="31" t="s">
        <v>46</v>
      </c>
      <c r="M22" s="425"/>
      <c r="N22" s="427" t="e">
        <f>AG37</f>
        <v>#DIV/0!</v>
      </c>
      <c r="O22" s="136" t="e">
        <f t="shared" ref="N22:O24" si="9">AH37</f>
        <v>#NUM!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 t="e">
        <f>TINV(0.05,AE41)</f>
        <v>#NUM!</v>
      </c>
      <c r="AF22" s="340">
        <f t="shared" si="6"/>
        <v>0</v>
      </c>
      <c r="AG22" s="343">
        <f t="shared" si="7"/>
        <v>0</v>
      </c>
      <c r="AH22" s="343">
        <f t="shared" si="0"/>
        <v>0</v>
      </c>
      <c r="AI22" s="343" t="e">
        <f t="shared" si="1"/>
        <v>#DIV/0!</v>
      </c>
      <c r="AJ22" s="343">
        <f t="shared" si="2"/>
        <v>0</v>
      </c>
      <c r="AK22" s="343">
        <f t="shared" si="3"/>
        <v>0</v>
      </c>
      <c r="AL22" s="344">
        <f t="shared" si="8"/>
        <v>0</v>
      </c>
      <c r="AN22" s="124"/>
      <c r="AO22" s="331"/>
      <c r="AP22" s="331"/>
      <c r="AQ22" s="331"/>
      <c r="AR22" s="331"/>
      <c r="AS22" s="331"/>
      <c r="AT22" s="331"/>
      <c r="AU22" s="331"/>
      <c r="AV22" s="332" t="str">
        <f t="shared" si="4"/>
        <v/>
      </c>
      <c r="AW22" s="331" t="str">
        <f t="shared" si="5"/>
        <v/>
      </c>
    </row>
    <row r="23" spans="1:49" ht="12.75" customHeight="1" x14ac:dyDescent="0.2">
      <c r="A23" s="27"/>
      <c r="B23" s="55"/>
      <c r="C23" s="77"/>
      <c r="D23" s="190" t="s">
        <v>104</v>
      </c>
      <c r="E23" s="586"/>
      <c r="F23" s="587"/>
      <c r="G23" s="587"/>
      <c r="H23" s="587"/>
      <c r="I23" s="587"/>
      <c r="J23" s="588"/>
      <c r="K23" s="34"/>
      <c r="L23" s="116" t="s">
        <v>71</v>
      </c>
      <c r="M23" s="89"/>
      <c r="N23" s="427" t="e">
        <f>AG38</f>
        <v>#DIV/0!</v>
      </c>
      <c r="O23" s="136" t="e">
        <f t="shared" si="9"/>
        <v>#NUM!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 t="e">
        <f>SQRT(AF41)</f>
        <v>#DIV/0!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 t="e">
        <f t="shared" si="1"/>
        <v>#DIV/0!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/>
      <c r="E24" s="181"/>
      <c r="F24" s="51"/>
      <c r="G24" s="183"/>
      <c r="H24" s="181"/>
      <c r="I24" s="120"/>
      <c r="J24" s="121"/>
      <c r="K24" s="34"/>
      <c r="L24" s="117" t="s">
        <v>72</v>
      </c>
      <c r="M24" s="426"/>
      <c r="N24" s="427" t="e">
        <f t="shared" si="9"/>
        <v>#DIV/0!</v>
      </c>
      <c r="O24" s="136" t="e">
        <f t="shared" si="9"/>
        <v>#NUM!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 t="e">
        <f>AD22^2*AD23^2/(AD21^2*(AD15+AD16))</f>
        <v>#NUM!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/>
      <c r="E25" s="182"/>
      <c r="F25" s="185"/>
      <c r="G25" s="184"/>
      <c r="H25" s="182"/>
      <c r="I25" s="122"/>
      <c r="J25" s="123"/>
      <c r="K25" s="34"/>
      <c r="L25" s="429" t="s">
        <v>159</v>
      </c>
      <c r="M25" s="430"/>
      <c r="N25" s="428" t="e">
        <f>AD48/AD45</f>
        <v>#DIV/0!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 t="e">
        <f>(AD23^2/AD21^2)*((1/AD5+1/AD6)+(AD28-AD11+AD12)^2/(AD15+AD16))</f>
        <v>#DIV/0!</v>
      </c>
      <c r="AF26" s="359">
        <f>COUNTIF(AP26:AU26,"&gt;0")</f>
        <v>0</v>
      </c>
      <c r="AG26" s="360">
        <f t="shared" ref="AG26:AG32" si="10">SUM(AP26:AU26)</f>
        <v>0</v>
      </c>
      <c r="AH26" s="360">
        <f t="shared" ref="AH26:AH32" si="11">AF26*AW26</f>
        <v>0</v>
      </c>
      <c r="AI26" s="360" t="e">
        <f t="shared" ref="AI26:AI32" si="12">AF26*(AW26-$AD$12)^2</f>
        <v>#DIV/0!</v>
      </c>
      <c r="AJ26" s="360">
        <f t="shared" ref="AJ26:AJ32" si="13">IF(AF26=0,0,+AF26*(AG26/AF26-$AD$14)^2)</f>
        <v>0</v>
      </c>
      <c r="AK26" s="360">
        <f t="shared" ref="AK26:AK32" si="14">IF(AF26=0,0,+AF26*(AG26/AF26-$AD$14)*(AW26-$AD$12))</f>
        <v>0</v>
      </c>
      <c r="AL26" s="361">
        <f t="shared" ref="AL26:AL32" si="15">AP26^2+AQ26^2+AR26^2+AS26^2+AT26^2+AU26^2</f>
        <v>0</v>
      </c>
      <c r="AN26" s="423" t="s">
        <v>143</v>
      </c>
      <c r="AO26" s="335"/>
      <c r="AP26" s="336"/>
      <c r="AQ26" s="336"/>
      <c r="AR26" s="336"/>
      <c r="AS26" s="336"/>
      <c r="AT26" s="336"/>
      <c r="AU26" s="336"/>
      <c r="AV26" s="337" t="str">
        <f t="shared" ref="AV26:AV32" si="16">IF(AO26&gt;0,AW26*$AD$48+$AD$49,"")</f>
        <v/>
      </c>
      <c r="AW26" s="336" t="str">
        <f t="shared" ref="AW26:AW32" si="17">IF(AO26&gt;0,LOG(AO26),"")</f>
        <v/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 t="e">
        <f>(AD23*AD22/AD21)*SQRT((1-AD24)*(1/AD6+1/AD5)+(AD28-AD11+AD12)^2/(AD15+AD16))</f>
        <v>#DIV/0!</v>
      </c>
      <c r="AF27" s="339">
        <f t="shared" ref="AF27:AF32" si="18">COUNTIF(AP27:AU27,"&gt;0")</f>
        <v>0</v>
      </c>
      <c r="AG27" s="348">
        <f t="shared" si="10"/>
        <v>0</v>
      </c>
      <c r="AH27" s="348">
        <f t="shared" si="11"/>
        <v>0</v>
      </c>
      <c r="AI27" s="348" t="e">
        <f t="shared" si="12"/>
        <v>#DIV/0!</v>
      </c>
      <c r="AJ27" s="348">
        <f t="shared" si="13"/>
        <v>0</v>
      </c>
      <c r="AK27" s="348">
        <f t="shared" si="14"/>
        <v>0</v>
      </c>
      <c r="AL27" s="349">
        <f t="shared" si="15"/>
        <v>0</v>
      </c>
      <c r="AN27" s="125"/>
      <c r="AO27" s="335"/>
      <c r="AP27" s="336"/>
      <c r="AQ27" s="336"/>
      <c r="AR27" s="336"/>
      <c r="AS27" s="336"/>
      <c r="AT27" s="336"/>
      <c r="AU27" s="336"/>
      <c r="AV27" s="337" t="str">
        <f t="shared" si="16"/>
        <v/>
      </c>
      <c r="AW27" s="336" t="str">
        <f t="shared" si="17"/>
        <v/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 t="e">
        <f>$AD$11-$AD$12-(AD13-AD14)/AD21</f>
        <v>#DIV/0!</v>
      </c>
      <c r="AF28" s="339">
        <f t="shared" si="18"/>
        <v>0</v>
      </c>
      <c r="AG28" s="348">
        <f t="shared" si="10"/>
        <v>0</v>
      </c>
      <c r="AH28" s="348">
        <f t="shared" si="11"/>
        <v>0</v>
      </c>
      <c r="AI28" s="348" t="e">
        <f t="shared" si="12"/>
        <v>#DIV/0!</v>
      </c>
      <c r="AJ28" s="348">
        <f t="shared" si="13"/>
        <v>0</v>
      </c>
      <c r="AK28" s="348">
        <f t="shared" si="14"/>
        <v>0</v>
      </c>
      <c r="AL28" s="349">
        <f t="shared" si="15"/>
        <v>0</v>
      </c>
      <c r="AN28" s="125"/>
      <c r="AO28" s="335"/>
      <c r="AP28" s="336"/>
      <c r="AQ28" s="336"/>
      <c r="AR28" s="336"/>
      <c r="AS28" s="336"/>
      <c r="AT28" s="336"/>
      <c r="AU28" s="336"/>
      <c r="AV28" s="337" t="str">
        <f t="shared" si="16"/>
        <v/>
      </c>
      <c r="AW28" s="336" t="str">
        <f t="shared" si="17"/>
        <v/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 t="e">
        <f>$AD$11-$AD$12+($AD$28-$AD$11+$AD$12+$AD$27)/(1-$AD$24)</f>
        <v>#DIV/0!</v>
      </c>
      <c r="AF29" s="339">
        <f t="shared" si="18"/>
        <v>0</v>
      </c>
      <c r="AG29" s="348">
        <f t="shared" si="10"/>
        <v>0</v>
      </c>
      <c r="AH29" s="348">
        <f t="shared" si="11"/>
        <v>0</v>
      </c>
      <c r="AI29" s="348" t="e">
        <f t="shared" si="12"/>
        <v>#DIV/0!</v>
      </c>
      <c r="AJ29" s="348">
        <f t="shared" si="13"/>
        <v>0</v>
      </c>
      <c r="AK29" s="348">
        <f t="shared" si="14"/>
        <v>0</v>
      </c>
      <c r="AL29" s="349">
        <f t="shared" si="15"/>
        <v>0</v>
      </c>
      <c r="AN29" s="125"/>
      <c r="AO29" s="335"/>
      <c r="AP29" s="336"/>
      <c r="AQ29" s="336"/>
      <c r="AR29" s="336"/>
      <c r="AS29" s="336"/>
      <c r="AT29" s="336"/>
      <c r="AU29" s="336"/>
      <c r="AV29" s="337" t="str">
        <f t="shared" si="16"/>
        <v/>
      </c>
      <c r="AW29" s="336" t="str">
        <f t="shared" si="17"/>
        <v/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 t="e">
        <f>$AD$11-$AD$12+($AD$28-$AD$11+$AD$12-$AD$27)/(1-$AD$24)</f>
        <v>#DIV/0!</v>
      </c>
      <c r="AF30" s="339">
        <f t="shared" si="18"/>
        <v>0</v>
      </c>
      <c r="AG30" s="348">
        <f t="shared" si="10"/>
        <v>0</v>
      </c>
      <c r="AH30" s="348">
        <f t="shared" si="11"/>
        <v>0</v>
      </c>
      <c r="AI30" s="348" t="e">
        <f t="shared" si="12"/>
        <v>#DIV/0!</v>
      </c>
      <c r="AJ30" s="348">
        <f t="shared" si="13"/>
        <v>0</v>
      </c>
      <c r="AK30" s="348">
        <f t="shared" si="14"/>
        <v>0</v>
      </c>
      <c r="AL30" s="349">
        <f t="shared" si="15"/>
        <v>0</v>
      </c>
      <c r="AN30" s="125"/>
      <c r="AO30" s="335"/>
      <c r="AP30" s="336"/>
      <c r="AQ30" s="336"/>
      <c r="AR30" s="336"/>
      <c r="AS30" s="336"/>
      <c r="AT30" s="336"/>
      <c r="AU30" s="336"/>
      <c r="AV30" s="337" t="str">
        <f t="shared" si="16"/>
        <v/>
      </c>
      <c r="AW30" s="336" t="str">
        <f t="shared" si="17"/>
        <v/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0</v>
      </c>
      <c r="AG31" s="348">
        <f t="shared" si="10"/>
        <v>0</v>
      </c>
      <c r="AH31" s="348">
        <f t="shared" si="11"/>
        <v>0</v>
      </c>
      <c r="AI31" s="348" t="e">
        <f t="shared" si="12"/>
        <v>#DIV/0!</v>
      </c>
      <c r="AJ31" s="348">
        <f t="shared" si="13"/>
        <v>0</v>
      </c>
      <c r="AK31" s="348">
        <f t="shared" si="14"/>
        <v>0</v>
      </c>
      <c r="AL31" s="349">
        <f t="shared" si="15"/>
        <v>0</v>
      </c>
      <c r="AN31" s="125"/>
      <c r="AO31" s="335"/>
      <c r="AP31" s="336"/>
      <c r="AQ31" s="336"/>
      <c r="AR31" s="336"/>
      <c r="AS31" s="336"/>
      <c r="AT31" s="336"/>
      <c r="AU31" s="336"/>
      <c r="AV31" s="337" t="str">
        <f t="shared" si="16"/>
        <v/>
      </c>
      <c r="AW31" s="336" t="str">
        <f t="shared" si="17"/>
        <v/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 t="e">
        <f t="shared" si="12"/>
        <v>#DIV/0!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 t="e">
        <f>AD7^2/AD5+AD8^2/AD6-(AD7+AD8)^2/(AD5+AD6)</f>
        <v>#DIV/0!</v>
      </c>
      <c r="AE35" s="387">
        <v>1</v>
      </c>
      <c r="AF35" s="388" t="e">
        <f>AD35</f>
        <v>#DIV/0!</v>
      </c>
      <c r="AG35" s="389" t="e">
        <f>AF35/$AF$41</f>
        <v>#DIV/0!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 t="e">
        <f>(AD17+AD18)^2/(AD15+AD16)</f>
        <v>#DIV/0!</v>
      </c>
      <c r="AE36" s="387">
        <v>1</v>
      </c>
      <c r="AF36" s="388" t="e">
        <f>AD36</f>
        <v>#DIV/0!</v>
      </c>
      <c r="AG36" s="389" t="e">
        <f>AF36/$AF$41</f>
        <v>#DIV/0!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 t="e">
        <f>(AD17)^2/AD15+AD18^2/AD16-(AD17+AD18)^2/(AD15+AD16)</f>
        <v>#DIV/0!</v>
      </c>
      <c r="AE37" s="387">
        <v>1</v>
      </c>
      <c r="AF37" s="388" t="e">
        <f>AD37</f>
        <v>#DIV/0!</v>
      </c>
      <c r="AG37" s="391" t="e">
        <f>AF37/$AF$41</f>
        <v>#DIV/0!</v>
      </c>
      <c r="AH37" s="392" t="e">
        <f>FINV(0.05,AE37,AE$41)</f>
        <v>#NUM!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 t="e">
        <f>AD19-AD17^2/AD15</f>
        <v>#DIV/0!</v>
      </c>
      <c r="AE38" s="406">
        <f>AD3-2</f>
        <v>-2</v>
      </c>
      <c r="AF38" s="407" t="e">
        <f>AD38/AE38</f>
        <v>#DIV/0!</v>
      </c>
      <c r="AG38" s="408" t="e">
        <f>AF38/$AF$41</f>
        <v>#DIV/0!</v>
      </c>
      <c r="AH38" s="409" t="e">
        <f>FINV(0.05,AE38,AE$41)</f>
        <v>#NUM!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 t="e">
        <f>AD20-AD18^2/AD16</f>
        <v>#DIV/0!</v>
      </c>
      <c r="AE39" s="410">
        <f>AD4-2</f>
        <v>-2</v>
      </c>
      <c r="AF39" s="411" t="e">
        <f>AD39/AE39</f>
        <v>#DIV/0!</v>
      </c>
      <c r="AG39" s="412" t="e">
        <f>AF39/$AF$41</f>
        <v>#DIV/0!</v>
      </c>
      <c r="AH39" s="413" t="e">
        <f>FINV(0.05,AE39,AE$41)</f>
        <v>#NUM!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 t="e">
        <f>AD43-AD35-AD36-AD37-AD38-AD39</f>
        <v>#DIV/0!</v>
      </c>
      <c r="AE41" s="387">
        <f>AE43-AE35-AE36-AE37-AE38-AE39</f>
        <v>0</v>
      </c>
      <c r="AF41" s="388" t="e">
        <f>AD41/AE41</f>
        <v>#DIV/0!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 t="e">
        <f>SUM(AL17:AL32)-(AD7+AD8)^2/(AD5+AD6)</f>
        <v>#DIV/0!</v>
      </c>
      <c r="AE43" s="398">
        <f>(AD6+AD5)-1</f>
        <v>-1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 t="e">
        <f>AD17/AD15</f>
        <v>#DIV/0!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 t="e">
        <f>AD13-AD45*AD11</f>
        <v>#DIV/0!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 t="e">
        <f>AD18/AD16</f>
        <v>#DIV/0!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 t="e">
        <f>AD14-AD48*AD12</f>
        <v>#DIV/0!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 t="e">
        <f>10^AD28</f>
        <v>#DIV/0!</v>
      </c>
      <c r="AD53" s="419" t="e">
        <f>10^AD30</f>
        <v>#DIV/0!</v>
      </c>
      <c r="AE53" s="420" t="e">
        <f>10^AD29</f>
        <v>#DIV/0!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 t="e">
        <f>$AD$53*$N$19</f>
        <v>#DIV/0!</v>
      </c>
      <c r="AE54" s="179" t="e">
        <f>$AE$53*$N$19</f>
        <v>#DIV/0!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 t="e">
        <f>(AD53-AC53)/AC53</f>
        <v>#DIV/0!</v>
      </c>
      <c r="AE55" s="422" t="e">
        <f>(AE53-AC53)/AC53</f>
        <v>#DIV/0!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17" priority="7" stopIfTrue="1" operator="greaterThan">
      <formula>$O$22</formula>
    </cfRule>
    <cfRule type="cellIs" dxfId="16" priority="8" stopIfTrue="1" operator="notBetween">
      <formula>0.9</formula>
      <formula>1.1</formula>
    </cfRule>
    <cfRule type="cellIs" dxfId="15" priority="9" stopIfTrue="1" operator="between">
      <formula>0.9</formula>
      <formula>1.1</formula>
    </cfRule>
  </conditionalFormatting>
  <conditionalFormatting sqref="N22">
    <cfRule type="cellIs" dxfId="14" priority="5" stopIfTrue="1" operator="lessThanOrEqual">
      <formula>$O$22</formula>
    </cfRule>
    <cfRule type="cellIs" dxfId="13" priority="6" stopIfTrue="1" operator="greaterThan">
      <formula>$O$22</formula>
    </cfRule>
  </conditionalFormatting>
  <conditionalFormatting sqref="N23">
    <cfRule type="cellIs" dxfId="12" priority="3" stopIfTrue="1" operator="lessThanOrEqual">
      <formula>$O$23</formula>
    </cfRule>
    <cfRule type="cellIs" dxfId="11" priority="4" stopIfTrue="1" operator="greaterThan">
      <formula>$O$23</formula>
    </cfRule>
  </conditionalFormatting>
  <conditionalFormatting sqref="N24">
    <cfRule type="cellIs" dxfId="10" priority="1" stopIfTrue="1" operator="greaterThan">
      <formula>$O$24</formula>
    </cfRule>
    <cfRule type="cellIs" dxfId="9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22530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22530" r:id="rId4" name="RecalcSample1"/>
      </mc:Fallback>
    </mc:AlternateContent>
    <mc:AlternateContent xmlns:mc="http://schemas.openxmlformats.org/markup-compatibility/2006">
      <mc:Choice Requires="x14">
        <control shapeId="22529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22529" r:id="rId6" name="DixonButtonSample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18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0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0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0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0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0</v>
      </c>
    </row>
    <row r="8" spans="1:49" ht="12.75" customHeight="1" x14ac:dyDescent="0.2">
      <c r="A8" s="27"/>
      <c r="B8" s="55"/>
      <c r="C8" s="49">
        <v>1</v>
      </c>
      <c r="D8" s="563"/>
      <c r="E8" s="265"/>
      <c r="F8" s="265"/>
      <c r="G8" s="265"/>
      <c r="H8" s="265"/>
      <c r="I8" s="265"/>
      <c r="J8" s="265"/>
      <c r="K8" s="148"/>
      <c r="L8" s="29">
        <v>1</v>
      </c>
      <c r="M8" s="563"/>
      <c r="N8" s="265"/>
      <c r="O8" s="265"/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0</v>
      </c>
    </row>
    <row r="9" spans="1:49" ht="12.75" customHeight="1" x14ac:dyDescent="0.2">
      <c r="A9" s="27"/>
      <c r="B9" s="55"/>
      <c r="C9" s="49">
        <v>2</v>
      </c>
      <c r="D9" s="563"/>
      <c r="E9" s="265"/>
      <c r="F9" s="265"/>
      <c r="G9" s="265"/>
      <c r="H9" s="265"/>
      <c r="I9" s="265"/>
      <c r="J9" s="265"/>
      <c r="K9" s="148"/>
      <c r="L9" s="29">
        <v>2</v>
      </c>
      <c r="M9" s="563"/>
      <c r="N9" s="265"/>
      <c r="O9" s="265"/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0</v>
      </c>
    </row>
    <row r="10" spans="1:49" ht="12.75" customHeight="1" x14ac:dyDescent="0.2">
      <c r="A10" s="27"/>
      <c r="B10" s="55"/>
      <c r="C10" s="49">
        <v>3</v>
      </c>
      <c r="D10" s="563"/>
      <c r="E10" s="265"/>
      <c r="F10" s="265"/>
      <c r="G10" s="265"/>
      <c r="H10" s="265"/>
      <c r="I10" s="265"/>
      <c r="J10" s="265"/>
      <c r="K10" s="148"/>
      <c r="L10" s="29">
        <v>3</v>
      </c>
      <c r="M10" s="563"/>
      <c r="N10" s="265"/>
      <c r="O10" s="265"/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0</v>
      </c>
    </row>
    <row r="11" spans="1:49" ht="12.75" customHeight="1" x14ac:dyDescent="0.2">
      <c r="A11" s="27"/>
      <c r="B11" s="55"/>
      <c r="C11" s="49">
        <v>4</v>
      </c>
      <c r="D11" s="563"/>
      <c r="E11" s="265"/>
      <c r="F11" s="265"/>
      <c r="G11" s="265"/>
      <c r="H11" s="265"/>
      <c r="I11" s="265"/>
      <c r="J11" s="265"/>
      <c r="K11" s="148"/>
      <c r="L11" s="29">
        <v>4</v>
      </c>
      <c r="M11" s="563"/>
      <c r="N11" s="265"/>
      <c r="O11" s="265"/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 t="e">
        <f>AD9/AD5</f>
        <v>#DIV/0!</v>
      </c>
    </row>
    <row r="12" spans="1:49" ht="12.75" customHeight="1" x14ac:dyDescent="0.2">
      <c r="A12" s="27"/>
      <c r="B12" s="55"/>
      <c r="C12" s="49">
        <v>5</v>
      </c>
      <c r="D12" s="563"/>
      <c r="E12" s="265"/>
      <c r="F12" s="265"/>
      <c r="G12" s="265"/>
      <c r="H12" s="265"/>
      <c r="I12" s="265"/>
      <c r="J12" s="265"/>
      <c r="K12" s="148"/>
      <c r="L12" s="29">
        <v>5</v>
      </c>
      <c r="M12" s="563"/>
      <c r="N12" s="265"/>
      <c r="O12" s="265"/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 t="e">
        <f>AD10/AD6</f>
        <v>#DIV/0!</v>
      </c>
    </row>
    <row r="13" spans="1:49" ht="12.75" customHeight="1" x14ac:dyDescent="0.2">
      <c r="A13" s="27"/>
      <c r="B13" s="55"/>
      <c r="C13" s="49">
        <v>6</v>
      </c>
      <c r="D13" s="563"/>
      <c r="E13" s="266"/>
      <c r="F13" s="266"/>
      <c r="G13" s="266"/>
      <c r="H13" s="266"/>
      <c r="I13" s="265"/>
      <c r="J13" s="265"/>
      <c r="K13" s="267"/>
      <c r="L13" s="29">
        <v>6</v>
      </c>
      <c r="M13" s="563"/>
      <c r="N13" s="266"/>
      <c r="O13" s="266"/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 t="e">
        <f>AD7/AD5</f>
        <v>#DIV/0!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 t="e">
        <f>AD8/AD6</f>
        <v>#DIV/0!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 t="e">
        <f>SUM(AI17:AI23)</f>
        <v>#DIV/0!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 t="e">
        <f>SUM(AI26:AI32)</f>
        <v>#DIV/0!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0</v>
      </c>
      <c r="AF17" s="353">
        <f>COUNTIF(AP17:AU17,"&gt;0")</f>
        <v>0</v>
      </c>
      <c r="AG17" s="354">
        <f>SUM(AP17:AU17)</f>
        <v>0</v>
      </c>
      <c r="AH17" s="354">
        <f t="shared" ref="AH17:AH23" si="0">AF17*AW17</f>
        <v>0</v>
      </c>
      <c r="AI17" s="354" t="e">
        <f t="shared" ref="AI17:AI23" si="1">AF17*(AW17-$AD$11)^2</f>
        <v>#DIV/0!</v>
      </c>
      <c r="AJ17" s="354">
        <f t="shared" ref="AJ17:AJ23" si="2">IF(AF17=0,0,+AF17*(AG17/AF17-$AD$13)^2)</f>
        <v>0</v>
      </c>
      <c r="AK17" s="354">
        <f t="shared" ref="AK17:AK23" si="3">IF(AF17=0,0,+AF17*(AG17/AF17-$AD$13)*(AW17-$AD$11))</f>
        <v>0</v>
      </c>
      <c r="AL17" s="355">
        <f>AP17^2+AQ17^2+AR17^2+AS17^2+AT17^2+AU17^2</f>
        <v>0</v>
      </c>
      <c r="AN17" s="13" t="s">
        <v>53</v>
      </c>
      <c r="AO17" s="331"/>
      <c r="AP17" s="331"/>
      <c r="AQ17" s="331"/>
      <c r="AR17" s="331"/>
      <c r="AS17" s="331"/>
      <c r="AT17" s="331"/>
      <c r="AU17" s="331"/>
      <c r="AV17" s="332" t="str">
        <f t="shared" ref="AV17:AV23" si="4">IF(AO17&gt;0,AW17*$AD$45+$AD$46,"")</f>
        <v/>
      </c>
      <c r="AW17" s="331" t="str">
        <f t="shared" ref="AW17:AW23" si="5">IF(AO17&gt;0,LOG(AO17),"")</f>
        <v/>
      </c>
    </row>
    <row r="18" spans="1:49" ht="12.75" customHeight="1" x14ac:dyDescent="0.2">
      <c r="A18" s="27"/>
      <c r="B18" s="55"/>
      <c r="C18" s="46"/>
      <c r="D18" s="187" t="s">
        <v>106</v>
      </c>
      <c r="E18" s="45"/>
      <c r="F18" s="73"/>
      <c r="G18" s="73"/>
      <c r="H18" s="73"/>
      <c r="I18" s="73"/>
      <c r="J18" s="44"/>
      <c r="K18" s="34"/>
      <c r="L18" s="273"/>
      <c r="M18" s="284" t="s">
        <v>128</v>
      </c>
      <c r="N18" s="274"/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0</v>
      </c>
      <c r="AF18" s="340">
        <f t="shared" ref="AF18:AF23" si="6">COUNTIF(AP18:AU18,"&gt;0")</f>
        <v>0</v>
      </c>
      <c r="AG18" s="343">
        <f t="shared" ref="AG18:AG23" si="7">SUM(AP18:AU18)</f>
        <v>0</v>
      </c>
      <c r="AH18" s="343">
        <f t="shared" si="0"/>
        <v>0</v>
      </c>
      <c r="AI18" s="343" t="e">
        <f t="shared" si="1"/>
        <v>#DIV/0!</v>
      </c>
      <c r="AJ18" s="343">
        <f t="shared" si="2"/>
        <v>0</v>
      </c>
      <c r="AK18" s="343">
        <f t="shared" si="3"/>
        <v>0</v>
      </c>
      <c r="AL18" s="344">
        <f t="shared" ref="AL18:AL23" si="8">AP18^2+AQ18^2+AR18^2+AS18^2+AT18^2+AU18^2</f>
        <v>0</v>
      </c>
      <c r="AN18" s="124"/>
      <c r="AO18" s="331"/>
      <c r="AP18" s="331"/>
      <c r="AQ18" s="331"/>
      <c r="AR18" s="331"/>
      <c r="AS18" s="331"/>
      <c r="AT18" s="331"/>
      <c r="AU18" s="331"/>
      <c r="AV18" s="332" t="str">
        <f t="shared" si="4"/>
        <v/>
      </c>
      <c r="AW18" s="331" t="str">
        <f t="shared" si="5"/>
        <v/>
      </c>
    </row>
    <row r="19" spans="1:49" ht="12.75" customHeight="1" x14ac:dyDescent="0.2">
      <c r="A19" s="27"/>
      <c r="B19" s="55"/>
      <c r="C19" s="172"/>
      <c r="D19" s="186" t="s">
        <v>107</v>
      </c>
      <c r="E19" s="490" t="e">
        <f>AC53*N19</f>
        <v>#DIV/0!</v>
      </c>
      <c r="F19" s="74">
        <f>O19</f>
        <v>0</v>
      </c>
      <c r="G19" s="74"/>
      <c r="H19" s="74"/>
      <c r="I19" s="74"/>
      <c r="J19" s="75"/>
      <c r="K19" s="34"/>
      <c r="L19" s="278"/>
      <c r="M19" s="285" t="s">
        <v>129</v>
      </c>
      <c r="N19" s="269"/>
      <c r="O19" s="269"/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0</v>
      </c>
      <c r="AF19" s="340">
        <f t="shared" si="6"/>
        <v>0</v>
      </c>
      <c r="AG19" s="343">
        <f t="shared" si="7"/>
        <v>0</v>
      </c>
      <c r="AH19" s="343">
        <f t="shared" si="0"/>
        <v>0</v>
      </c>
      <c r="AI19" s="343" t="e">
        <f t="shared" si="1"/>
        <v>#DIV/0!</v>
      </c>
      <c r="AJ19" s="343">
        <f t="shared" si="2"/>
        <v>0</v>
      </c>
      <c r="AK19" s="343">
        <f t="shared" si="3"/>
        <v>0</v>
      </c>
      <c r="AL19" s="344">
        <f t="shared" si="8"/>
        <v>0</v>
      </c>
      <c r="AN19" s="124"/>
      <c r="AO19" s="331"/>
      <c r="AP19" s="331"/>
      <c r="AQ19" s="331"/>
      <c r="AR19" s="331"/>
      <c r="AS19" s="331"/>
      <c r="AT19" s="331"/>
      <c r="AU19" s="331"/>
      <c r="AV19" s="332" t="str">
        <f t="shared" si="4"/>
        <v/>
      </c>
      <c r="AW19" s="331" t="str">
        <f t="shared" si="5"/>
        <v/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e">
        <f>"("&amp;TEXT(MIN(AD54:AE54),"0.#0")&amp;" - "&amp;TEXT(MAX(AD54:AE54),"0.#0) ")&amp;"= +/-"</f>
        <v>#VALUE!</v>
      </c>
      <c r="F20" s="491"/>
      <c r="G20" s="131" t="e">
        <f>ABS((AD54-AE54)/(2*E19))</f>
        <v>#DIV/0!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0</v>
      </c>
      <c r="AF20" s="340">
        <f t="shared" si="6"/>
        <v>0</v>
      </c>
      <c r="AG20" s="343">
        <f t="shared" si="7"/>
        <v>0</v>
      </c>
      <c r="AH20" s="343">
        <f t="shared" si="0"/>
        <v>0</v>
      </c>
      <c r="AI20" s="343" t="e">
        <f t="shared" si="1"/>
        <v>#DIV/0!</v>
      </c>
      <c r="AJ20" s="343">
        <f t="shared" si="2"/>
        <v>0</v>
      </c>
      <c r="AK20" s="343">
        <f t="shared" si="3"/>
        <v>0</v>
      </c>
      <c r="AL20" s="344">
        <f t="shared" si="8"/>
        <v>0</v>
      </c>
      <c r="AN20" s="124"/>
      <c r="AO20" s="331"/>
      <c r="AP20" s="331"/>
      <c r="AQ20" s="331"/>
      <c r="AR20" s="331"/>
      <c r="AS20" s="331"/>
      <c r="AT20" s="331"/>
      <c r="AU20" s="331"/>
      <c r="AV20" s="332" t="str">
        <f t="shared" si="4"/>
        <v/>
      </c>
      <c r="AW20" s="331" t="str">
        <f t="shared" si="5"/>
        <v/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 t="e">
        <f>(AD17+AD18)/(AD15+AD16)</f>
        <v>#DIV/0!</v>
      </c>
      <c r="AF21" s="340">
        <f t="shared" si="6"/>
        <v>0</v>
      </c>
      <c r="AG21" s="343">
        <f t="shared" si="7"/>
        <v>0</v>
      </c>
      <c r="AH21" s="343">
        <f t="shared" si="0"/>
        <v>0</v>
      </c>
      <c r="AI21" s="343" t="e">
        <f t="shared" si="1"/>
        <v>#DIV/0!</v>
      </c>
      <c r="AJ21" s="343">
        <f t="shared" si="2"/>
        <v>0</v>
      </c>
      <c r="AK21" s="343">
        <f t="shared" si="3"/>
        <v>0</v>
      </c>
      <c r="AL21" s="344">
        <f t="shared" si="8"/>
        <v>0</v>
      </c>
      <c r="AN21" s="124"/>
      <c r="AO21" s="331"/>
      <c r="AP21" s="331"/>
      <c r="AQ21" s="331"/>
      <c r="AR21" s="331"/>
      <c r="AS21" s="331"/>
      <c r="AT21" s="331"/>
      <c r="AU21" s="331"/>
      <c r="AV21" s="332" t="str">
        <f t="shared" si="4"/>
        <v/>
      </c>
      <c r="AW21" s="331" t="str">
        <f t="shared" si="5"/>
        <v/>
      </c>
    </row>
    <row r="22" spans="1:49" ht="12.75" customHeight="1" x14ac:dyDescent="0.2">
      <c r="A22" s="27"/>
      <c r="B22" s="55"/>
      <c r="C22" s="43"/>
      <c r="D22" s="189" t="s">
        <v>105</v>
      </c>
      <c r="E22" s="589"/>
      <c r="F22" s="589"/>
      <c r="G22" s="118"/>
      <c r="H22" s="118"/>
      <c r="I22" s="118"/>
      <c r="J22" s="119"/>
      <c r="K22" s="34"/>
      <c r="L22" s="31" t="s">
        <v>46</v>
      </c>
      <c r="M22" s="425"/>
      <c r="N22" s="427" t="e">
        <f>AG37</f>
        <v>#DIV/0!</v>
      </c>
      <c r="O22" s="136" t="e">
        <f t="shared" ref="N22:O24" si="9">AH37</f>
        <v>#NUM!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 t="e">
        <f>TINV(0.05,AE41)</f>
        <v>#NUM!</v>
      </c>
      <c r="AF22" s="340">
        <f t="shared" si="6"/>
        <v>0</v>
      </c>
      <c r="AG22" s="343">
        <f t="shared" si="7"/>
        <v>0</v>
      </c>
      <c r="AH22" s="343">
        <f t="shared" si="0"/>
        <v>0</v>
      </c>
      <c r="AI22" s="343" t="e">
        <f t="shared" si="1"/>
        <v>#DIV/0!</v>
      </c>
      <c r="AJ22" s="343">
        <f t="shared" si="2"/>
        <v>0</v>
      </c>
      <c r="AK22" s="343">
        <f t="shared" si="3"/>
        <v>0</v>
      </c>
      <c r="AL22" s="344">
        <f t="shared" si="8"/>
        <v>0</v>
      </c>
      <c r="AN22" s="124"/>
      <c r="AO22" s="331"/>
      <c r="AP22" s="331"/>
      <c r="AQ22" s="331"/>
      <c r="AR22" s="331"/>
      <c r="AS22" s="331"/>
      <c r="AT22" s="331"/>
      <c r="AU22" s="331"/>
      <c r="AV22" s="332" t="str">
        <f t="shared" si="4"/>
        <v/>
      </c>
      <c r="AW22" s="331" t="str">
        <f t="shared" si="5"/>
        <v/>
      </c>
    </row>
    <row r="23" spans="1:49" ht="12.75" customHeight="1" x14ac:dyDescent="0.2">
      <c r="A23" s="27"/>
      <c r="B23" s="55"/>
      <c r="C23" s="77"/>
      <c r="D23" s="190" t="s">
        <v>104</v>
      </c>
      <c r="E23" s="586"/>
      <c r="F23" s="587"/>
      <c r="G23" s="587"/>
      <c r="H23" s="587"/>
      <c r="I23" s="587"/>
      <c r="J23" s="588"/>
      <c r="K23" s="34"/>
      <c r="L23" s="116" t="s">
        <v>71</v>
      </c>
      <c r="M23" s="89"/>
      <c r="N23" s="427" t="e">
        <f>AG38</f>
        <v>#DIV/0!</v>
      </c>
      <c r="O23" s="136" t="e">
        <f t="shared" si="9"/>
        <v>#NUM!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 t="e">
        <f>SQRT(AF41)</f>
        <v>#DIV/0!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 t="e">
        <f t="shared" si="1"/>
        <v>#DIV/0!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/>
      <c r="E24" s="181"/>
      <c r="F24" s="51"/>
      <c r="G24" s="183"/>
      <c r="H24" s="181"/>
      <c r="I24" s="120"/>
      <c r="J24" s="121"/>
      <c r="K24" s="34"/>
      <c r="L24" s="117" t="s">
        <v>72</v>
      </c>
      <c r="M24" s="426"/>
      <c r="N24" s="427" t="e">
        <f t="shared" si="9"/>
        <v>#DIV/0!</v>
      </c>
      <c r="O24" s="136" t="e">
        <f t="shared" si="9"/>
        <v>#NUM!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 t="e">
        <f>AD22^2*AD23^2/(AD21^2*(AD15+AD16))</f>
        <v>#NUM!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/>
      <c r="E25" s="182"/>
      <c r="F25" s="185"/>
      <c r="G25" s="184"/>
      <c r="H25" s="182"/>
      <c r="I25" s="122"/>
      <c r="J25" s="123"/>
      <c r="K25" s="34"/>
      <c r="L25" s="429" t="s">
        <v>159</v>
      </c>
      <c r="M25" s="430"/>
      <c r="N25" s="428" t="e">
        <f>AD48/AD45</f>
        <v>#DIV/0!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 t="e">
        <f>(AD23^2/AD21^2)*((1/AD5+1/AD6)+(AD28-AD11+AD12)^2/(AD15+AD16))</f>
        <v>#DIV/0!</v>
      </c>
      <c r="AF26" s="359">
        <f>COUNTIF(AP26:AU26,"&gt;0")</f>
        <v>0</v>
      </c>
      <c r="AG26" s="360">
        <f t="shared" ref="AG26:AG32" si="10">SUM(AP26:AU26)</f>
        <v>0</v>
      </c>
      <c r="AH26" s="360">
        <f t="shared" ref="AH26:AH32" si="11">AF26*AW26</f>
        <v>0</v>
      </c>
      <c r="AI26" s="360" t="e">
        <f t="shared" ref="AI26:AI32" si="12">AF26*(AW26-$AD$12)^2</f>
        <v>#DIV/0!</v>
      </c>
      <c r="AJ26" s="360">
        <f t="shared" ref="AJ26:AJ32" si="13">IF(AF26=0,0,+AF26*(AG26/AF26-$AD$14)^2)</f>
        <v>0</v>
      </c>
      <c r="AK26" s="360">
        <f t="shared" ref="AK26:AK32" si="14">IF(AF26=0,0,+AF26*(AG26/AF26-$AD$14)*(AW26-$AD$12))</f>
        <v>0</v>
      </c>
      <c r="AL26" s="361">
        <f t="shared" ref="AL26:AL32" si="15">AP26^2+AQ26^2+AR26^2+AS26^2+AT26^2+AU26^2</f>
        <v>0</v>
      </c>
      <c r="AN26" s="423" t="s">
        <v>143</v>
      </c>
      <c r="AO26" s="335"/>
      <c r="AP26" s="336"/>
      <c r="AQ26" s="336"/>
      <c r="AR26" s="336"/>
      <c r="AS26" s="336"/>
      <c r="AT26" s="336"/>
      <c r="AU26" s="336"/>
      <c r="AV26" s="337" t="str">
        <f t="shared" ref="AV26:AV32" si="16">IF(AO26&gt;0,AW26*$AD$48+$AD$49,"")</f>
        <v/>
      </c>
      <c r="AW26" s="336" t="str">
        <f t="shared" ref="AW26:AW32" si="17">IF(AO26&gt;0,LOG(AO26),"")</f>
        <v/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 t="e">
        <f>(AD23*AD22/AD21)*SQRT((1-AD24)*(1/AD6+1/AD5)+(AD28-AD11+AD12)^2/(AD15+AD16))</f>
        <v>#DIV/0!</v>
      </c>
      <c r="AF27" s="339">
        <f t="shared" ref="AF27:AF32" si="18">COUNTIF(AP27:AU27,"&gt;0")</f>
        <v>0</v>
      </c>
      <c r="AG27" s="348">
        <f t="shared" si="10"/>
        <v>0</v>
      </c>
      <c r="AH27" s="348">
        <f t="shared" si="11"/>
        <v>0</v>
      </c>
      <c r="AI27" s="348" t="e">
        <f t="shared" si="12"/>
        <v>#DIV/0!</v>
      </c>
      <c r="AJ27" s="348">
        <f t="shared" si="13"/>
        <v>0</v>
      </c>
      <c r="AK27" s="348">
        <f t="shared" si="14"/>
        <v>0</v>
      </c>
      <c r="AL27" s="349">
        <f t="shared" si="15"/>
        <v>0</v>
      </c>
      <c r="AN27" s="125"/>
      <c r="AO27" s="335"/>
      <c r="AP27" s="336"/>
      <c r="AQ27" s="336"/>
      <c r="AR27" s="336"/>
      <c r="AS27" s="336"/>
      <c r="AT27" s="336"/>
      <c r="AU27" s="336"/>
      <c r="AV27" s="337" t="str">
        <f t="shared" si="16"/>
        <v/>
      </c>
      <c r="AW27" s="336" t="str">
        <f t="shared" si="17"/>
        <v/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 t="e">
        <f>$AD$11-$AD$12-(AD13-AD14)/AD21</f>
        <v>#DIV/0!</v>
      </c>
      <c r="AF28" s="339">
        <f t="shared" si="18"/>
        <v>0</v>
      </c>
      <c r="AG28" s="348">
        <f t="shared" si="10"/>
        <v>0</v>
      </c>
      <c r="AH28" s="348">
        <f t="shared" si="11"/>
        <v>0</v>
      </c>
      <c r="AI28" s="348" t="e">
        <f t="shared" si="12"/>
        <v>#DIV/0!</v>
      </c>
      <c r="AJ28" s="348">
        <f t="shared" si="13"/>
        <v>0</v>
      </c>
      <c r="AK28" s="348">
        <f t="shared" si="14"/>
        <v>0</v>
      </c>
      <c r="AL28" s="349">
        <f t="shared" si="15"/>
        <v>0</v>
      </c>
      <c r="AN28" s="125"/>
      <c r="AO28" s="335"/>
      <c r="AP28" s="336"/>
      <c r="AQ28" s="336"/>
      <c r="AR28" s="336"/>
      <c r="AS28" s="336"/>
      <c r="AT28" s="336"/>
      <c r="AU28" s="336"/>
      <c r="AV28" s="337" t="str">
        <f t="shared" si="16"/>
        <v/>
      </c>
      <c r="AW28" s="336" t="str">
        <f t="shared" si="17"/>
        <v/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 t="e">
        <f>$AD$11-$AD$12+($AD$28-$AD$11+$AD$12+$AD$27)/(1-$AD$24)</f>
        <v>#DIV/0!</v>
      </c>
      <c r="AF29" s="339">
        <f t="shared" si="18"/>
        <v>0</v>
      </c>
      <c r="AG29" s="348">
        <f t="shared" si="10"/>
        <v>0</v>
      </c>
      <c r="AH29" s="348">
        <f t="shared" si="11"/>
        <v>0</v>
      </c>
      <c r="AI29" s="348" t="e">
        <f t="shared" si="12"/>
        <v>#DIV/0!</v>
      </c>
      <c r="AJ29" s="348">
        <f t="shared" si="13"/>
        <v>0</v>
      </c>
      <c r="AK29" s="348">
        <f t="shared" si="14"/>
        <v>0</v>
      </c>
      <c r="AL29" s="349">
        <f t="shared" si="15"/>
        <v>0</v>
      </c>
      <c r="AN29" s="125"/>
      <c r="AO29" s="335"/>
      <c r="AP29" s="336"/>
      <c r="AQ29" s="336"/>
      <c r="AR29" s="336"/>
      <c r="AS29" s="336"/>
      <c r="AT29" s="336"/>
      <c r="AU29" s="336"/>
      <c r="AV29" s="337" t="str">
        <f t="shared" si="16"/>
        <v/>
      </c>
      <c r="AW29" s="336" t="str">
        <f t="shared" si="17"/>
        <v/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 t="e">
        <f>$AD$11-$AD$12+($AD$28-$AD$11+$AD$12-$AD$27)/(1-$AD$24)</f>
        <v>#DIV/0!</v>
      </c>
      <c r="AF30" s="339">
        <f t="shared" si="18"/>
        <v>0</v>
      </c>
      <c r="AG30" s="348">
        <f t="shared" si="10"/>
        <v>0</v>
      </c>
      <c r="AH30" s="348">
        <f t="shared" si="11"/>
        <v>0</v>
      </c>
      <c r="AI30" s="348" t="e">
        <f t="shared" si="12"/>
        <v>#DIV/0!</v>
      </c>
      <c r="AJ30" s="348">
        <f t="shared" si="13"/>
        <v>0</v>
      </c>
      <c r="AK30" s="348">
        <f t="shared" si="14"/>
        <v>0</v>
      </c>
      <c r="AL30" s="349">
        <f t="shared" si="15"/>
        <v>0</v>
      </c>
      <c r="AN30" s="125"/>
      <c r="AO30" s="335"/>
      <c r="AP30" s="336"/>
      <c r="AQ30" s="336"/>
      <c r="AR30" s="336"/>
      <c r="AS30" s="336"/>
      <c r="AT30" s="336"/>
      <c r="AU30" s="336"/>
      <c r="AV30" s="337" t="str">
        <f t="shared" si="16"/>
        <v/>
      </c>
      <c r="AW30" s="336" t="str">
        <f t="shared" si="17"/>
        <v/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0</v>
      </c>
      <c r="AG31" s="348">
        <f t="shared" si="10"/>
        <v>0</v>
      </c>
      <c r="AH31" s="348">
        <f t="shared" si="11"/>
        <v>0</v>
      </c>
      <c r="AI31" s="348" t="e">
        <f t="shared" si="12"/>
        <v>#DIV/0!</v>
      </c>
      <c r="AJ31" s="348">
        <f t="shared" si="13"/>
        <v>0</v>
      </c>
      <c r="AK31" s="348">
        <f t="shared" si="14"/>
        <v>0</v>
      </c>
      <c r="AL31" s="349">
        <f t="shared" si="15"/>
        <v>0</v>
      </c>
      <c r="AN31" s="125"/>
      <c r="AO31" s="335"/>
      <c r="AP31" s="336"/>
      <c r="AQ31" s="336"/>
      <c r="AR31" s="336"/>
      <c r="AS31" s="336"/>
      <c r="AT31" s="336"/>
      <c r="AU31" s="336"/>
      <c r="AV31" s="337" t="str">
        <f t="shared" si="16"/>
        <v/>
      </c>
      <c r="AW31" s="336" t="str">
        <f t="shared" si="17"/>
        <v/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 t="e">
        <f t="shared" si="12"/>
        <v>#DIV/0!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 t="e">
        <f>AD7^2/AD5+AD8^2/AD6-(AD7+AD8)^2/(AD5+AD6)</f>
        <v>#DIV/0!</v>
      </c>
      <c r="AE35" s="387">
        <v>1</v>
      </c>
      <c r="AF35" s="388" t="e">
        <f>AD35</f>
        <v>#DIV/0!</v>
      </c>
      <c r="AG35" s="389" t="e">
        <f>AF35/$AF$41</f>
        <v>#DIV/0!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 t="e">
        <f>(AD17+AD18)^2/(AD15+AD16)</f>
        <v>#DIV/0!</v>
      </c>
      <c r="AE36" s="387">
        <v>1</v>
      </c>
      <c r="AF36" s="388" t="e">
        <f>AD36</f>
        <v>#DIV/0!</v>
      </c>
      <c r="AG36" s="389" t="e">
        <f>AF36/$AF$41</f>
        <v>#DIV/0!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 t="e">
        <f>(AD17)^2/AD15+AD18^2/AD16-(AD17+AD18)^2/(AD15+AD16)</f>
        <v>#DIV/0!</v>
      </c>
      <c r="AE37" s="387">
        <v>1</v>
      </c>
      <c r="AF37" s="388" t="e">
        <f>AD37</f>
        <v>#DIV/0!</v>
      </c>
      <c r="AG37" s="391" t="e">
        <f>AF37/$AF$41</f>
        <v>#DIV/0!</v>
      </c>
      <c r="AH37" s="392" t="e">
        <f>FINV(0.05,AE37,AE$41)</f>
        <v>#NUM!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 t="e">
        <f>AD19-AD17^2/AD15</f>
        <v>#DIV/0!</v>
      </c>
      <c r="AE38" s="406">
        <f>AD3-2</f>
        <v>-2</v>
      </c>
      <c r="AF38" s="407" t="e">
        <f>AD38/AE38</f>
        <v>#DIV/0!</v>
      </c>
      <c r="AG38" s="408" t="e">
        <f>AF38/$AF$41</f>
        <v>#DIV/0!</v>
      </c>
      <c r="AH38" s="409" t="e">
        <f>FINV(0.05,AE38,AE$41)</f>
        <v>#NUM!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 t="e">
        <f>AD20-AD18^2/AD16</f>
        <v>#DIV/0!</v>
      </c>
      <c r="AE39" s="410">
        <f>AD4-2</f>
        <v>-2</v>
      </c>
      <c r="AF39" s="411" t="e">
        <f>AD39/AE39</f>
        <v>#DIV/0!</v>
      </c>
      <c r="AG39" s="412" t="e">
        <f>AF39/$AF$41</f>
        <v>#DIV/0!</v>
      </c>
      <c r="AH39" s="413" t="e">
        <f>FINV(0.05,AE39,AE$41)</f>
        <v>#NUM!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 t="e">
        <f>AD43-AD35-AD36-AD37-AD38-AD39</f>
        <v>#DIV/0!</v>
      </c>
      <c r="AE41" s="387">
        <f>AE43-AE35-AE36-AE37-AE38-AE39</f>
        <v>0</v>
      </c>
      <c r="AF41" s="388" t="e">
        <f>AD41/AE41</f>
        <v>#DIV/0!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 t="e">
        <f>SUM(AL17:AL32)-(AD7+AD8)^2/(AD5+AD6)</f>
        <v>#DIV/0!</v>
      </c>
      <c r="AE43" s="398">
        <f>(AD6+AD5)-1</f>
        <v>-1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 t="e">
        <f>AD17/AD15</f>
        <v>#DIV/0!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 t="e">
        <f>AD13-AD45*AD11</f>
        <v>#DIV/0!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 t="e">
        <f>AD18/AD16</f>
        <v>#DIV/0!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 t="e">
        <f>AD14-AD48*AD12</f>
        <v>#DIV/0!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 t="e">
        <f>10^AD28</f>
        <v>#DIV/0!</v>
      </c>
      <c r="AD53" s="419" t="e">
        <f>10^AD30</f>
        <v>#DIV/0!</v>
      </c>
      <c r="AE53" s="420" t="e">
        <f>10^AD29</f>
        <v>#DIV/0!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 t="e">
        <f>$AD$53*$N$19</f>
        <v>#DIV/0!</v>
      </c>
      <c r="AE54" s="179" t="e">
        <f>$AE$53*$N$19</f>
        <v>#DIV/0!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 t="e">
        <f>(AD53-AC53)/AC53</f>
        <v>#DIV/0!</v>
      </c>
      <c r="AE55" s="422" t="e">
        <f>(AE53-AC53)/AC53</f>
        <v>#DIV/0!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8" priority="7" stopIfTrue="1" operator="greaterThan">
      <formula>$O$22</formula>
    </cfRule>
    <cfRule type="cellIs" dxfId="7" priority="8" stopIfTrue="1" operator="notBetween">
      <formula>0.9</formula>
      <formula>1.1</formula>
    </cfRule>
    <cfRule type="cellIs" dxfId="6" priority="9" stopIfTrue="1" operator="between">
      <formula>0.9</formula>
      <formula>1.1</formula>
    </cfRule>
  </conditionalFormatting>
  <conditionalFormatting sqref="N22">
    <cfRule type="cellIs" dxfId="5" priority="5" stopIfTrue="1" operator="lessThanOrEqual">
      <formula>$O$22</formula>
    </cfRule>
    <cfRule type="cellIs" dxfId="4" priority="6" stopIfTrue="1" operator="greaterThan">
      <formula>$O$22</formula>
    </cfRule>
  </conditionalFormatting>
  <conditionalFormatting sqref="N23">
    <cfRule type="cellIs" dxfId="3" priority="3" stopIfTrue="1" operator="lessThanOrEqual">
      <formula>$O$23</formula>
    </cfRule>
    <cfRule type="cellIs" dxfId="2" priority="4" stopIfTrue="1" operator="greaterThan">
      <formula>$O$23</formula>
    </cfRule>
  </conditionalFormatting>
  <conditionalFormatting sqref="N24">
    <cfRule type="cellIs" dxfId="1" priority="1" stopIfTrue="1" operator="greaterThan">
      <formula>$O$24</formula>
    </cfRule>
    <cfRule type="cellIs" dxfId="0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23554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23554" r:id="rId4" name="RecalcSample1"/>
      </mc:Fallback>
    </mc:AlternateContent>
    <mc:AlternateContent xmlns:mc="http://schemas.openxmlformats.org/markup-compatibility/2006">
      <mc:Choice Requires="x14">
        <control shapeId="23553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23553" r:id="rId6" name="DixonButtonSampl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X84"/>
  <sheetViews>
    <sheetView topLeftCell="A43" workbookViewId="0">
      <selection activeCell="Q61" sqref="Q61:T68"/>
    </sheetView>
  </sheetViews>
  <sheetFormatPr defaultRowHeight="15" x14ac:dyDescent="0.25"/>
  <sheetData>
    <row r="1" spans="1:24" x14ac:dyDescent="0.25">
      <c r="A1" s="152" t="s">
        <v>75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 t="s">
        <v>109</v>
      </c>
      <c r="R1" s="157"/>
      <c r="S1" s="157"/>
      <c r="T1" s="157"/>
      <c r="U1" s="157"/>
      <c r="V1" s="157"/>
      <c r="W1" s="157"/>
      <c r="X1" s="157"/>
    </row>
    <row r="2" spans="1:24" x14ac:dyDescent="0.25">
      <c r="A2" s="157"/>
      <c r="B2" s="155">
        <v>1</v>
      </c>
      <c r="C2" s="155">
        <v>2</v>
      </c>
      <c r="D2" s="155">
        <v>3</v>
      </c>
      <c r="E2" s="155">
        <v>4</v>
      </c>
      <c r="F2" s="155">
        <v>5</v>
      </c>
      <c r="G2" s="155">
        <v>6</v>
      </c>
      <c r="H2" s="155">
        <v>7</v>
      </c>
      <c r="I2" s="155">
        <v>8</v>
      </c>
      <c r="J2" s="155">
        <v>9</v>
      </c>
      <c r="K2" s="155">
        <v>10</v>
      </c>
      <c r="L2" s="155">
        <v>11</v>
      </c>
      <c r="M2" s="155">
        <v>12</v>
      </c>
      <c r="N2" s="157"/>
      <c r="O2" s="157"/>
      <c r="P2" s="157"/>
      <c r="Q2" s="155" t="s">
        <v>78</v>
      </c>
      <c r="R2" s="155" t="s">
        <v>79</v>
      </c>
      <c r="S2" s="155" t="s">
        <v>80</v>
      </c>
      <c r="T2" s="155" t="s">
        <v>81</v>
      </c>
      <c r="U2" s="155" t="s">
        <v>82</v>
      </c>
      <c r="V2" s="155" t="s">
        <v>83</v>
      </c>
      <c r="W2" s="155" t="s">
        <v>84</v>
      </c>
      <c r="X2" s="155" t="s">
        <v>85</v>
      </c>
    </row>
    <row r="3" spans="1:24" x14ac:dyDescent="0.25">
      <c r="A3" s="155" t="s">
        <v>78</v>
      </c>
      <c r="B3" s="211">
        <v>259</v>
      </c>
      <c r="C3" s="212">
        <v>434</v>
      </c>
      <c r="D3" s="212">
        <v>645</v>
      </c>
      <c r="E3" s="212">
        <v>938</v>
      </c>
      <c r="F3" s="212">
        <v>1181</v>
      </c>
      <c r="G3" s="212">
        <v>1524</v>
      </c>
      <c r="H3" s="212">
        <v>534</v>
      </c>
      <c r="I3" s="212">
        <v>755</v>
      </c>
      <c r="J3" s="212">
        <v>1069</v>
      </c>
      <c r="K3" s="212">
        <v>1090</v>
      </c>
      <c r="L3" s="212">
        <v>1607</v>
      </c>
      <c r="M3" s="213">
        <v>1825</v>
      </c>
      <c r="N3" s="157"/>
      <c r="O3" s="157"/>
      <c r="P3" s="155">
        <v>1</v>
      </c>
      <c r="Q3" s="225">
        <v>259</v>
      </c>
      <c r="R3" s="226">
        <v>251</v>
      </c>
      <c r="S3" s="226">
        <v>250</v>
      </c>
      <c r="T3" s="226">
        <v>253</v>
      </c>
      <c r="U3" s="226">
        <v>273</v>
      </c>
      <c r="V3" s="226">
        <v>268</v>
      </c>
      <c r="W3" s="226">
        <v>266</v>
      </c>
      <c r="X3" s="227">
        <v>294</v>
      </c>
    </row>
    <row r="4" spans="1:24" x14ac:dyDescent="0.25">
      <c r="A4" s="155" t="s">
        <v>79</v>
      </c>
      <c r="B4" s="214">
        <v>251</v>
      </c>
      <c r="C4" s="215">
        <v>475</v>
      </c>
      <c r="D4" s="215">
        <v>628</v>
      </c>
      <c r="E4" s="215">
        <v>923</v>
      </c>
      <c r="F4" s="215">
        <v>1230</v>
      </c>
      <c r="G4" s="215">
        <v>1428</v>
      </c>
      <c r="H4" s="215">
        <v>479</v>
      </c>
      <c r="I4" s="215">
        <v>689</v>
      </c>
      <c r="J4" s="215">
        <v>968</v>
      </c>
      <c r="K4" s="215">
        <v>1326</v>
      </c>
      <c r="L4" s="215">
        <v>1505</v>
      </c>
      <c r="M4" s="216">
        <v>1969</v>
      </c>
      <c r="N4" s="157"/>
      <c r="O4" s="157"/>
      <c r="P4" s="155">
        <v>2</v>
      </c>
      <c r="Q4" s="228">
        <v>434</v>
      </c>
      <c r="R4" s="229">
        <v>475</v>
      </c>
      <c r="S4" s="229">
        <v>462</v>
      </c>
      <c r="T4" s="229">
        <v>461</v>
      </c>
      <c r="U4" s="229">
        <v>476</v>
      </c>
      <c r="V4" s="229">
        <v>469</v>
      </c>
      <c r="W4" s="229">
        <v>463</v>
      </c>
      <c r="X4" s="230">
        <v>511</v>
      </c>
    </row>
    <row r="5" spans="1:24" x14ac:dyDescent="0.25">
      <c r="A5" s="155" t="s">
        <v>80</v>
      </c>
      <c r="B5" s="214">
        <v>250</v>
      </c>
      <c r="C5" s="215">
        <v>462</v>
      </c>
      <c r="D5" s="215">
        <v>600</v>
      </c>
      <c r="E5" s="215">
        <v>953</v>
      </c>
      <c r="F5" s="215">
        <v>1283</v>
      </c>
      <c r="G5" s="215">
        <v>1454</v>
      </c>
      <c r="H5" s="215">
        <v>508</v>
      </c>
      <c r="I5" s="215">
        <v>693</v>
      </c>
      <c r="J5" s="215">
        <v>924</v>
      </c>
      <c r="K5" s="215">
        <v>1261</v>
      </c>
      <c r="L5" s="215">
        <v>1368</v>
      </c>
      <c r="M5" s="216">
        <v>1795</v>
      </c>
      <c r="N5" s="157"/>
      <c r="O5" s="157"/>
      <c r="P5" s="155">
        <v>3</v>
      </c>
      <c r="Q5" s="228">
        <v>645</v>
      </c>
      <c r="R5" s="229">
        <v>628</v>
      </c>
      <c r="S5" s="229">
        <v>600</v>
      </c>
      <c r="T5" s="229">
        <v>590</v>
      </c>
      <c r="U5" s="229">
        <v>674</v>
      </c>
      <c r="V5" s="229">
        <v>629</v>
      </c>
      <c r="W5" s="229">
        <v>681</v>
      </c>
      <c r="X5" s="230">
        <v>687</v>
      </c>
    </row>
    <row r="6" spans="1:24" x14ac:dyDescent="0.25">
      <c r="A6" s="155" t="s">
        <v>81</v>
      </c>
      <c r="B6" s="214">
        <v>253</v>
      </c>
      <c r="C6" s="215">
        <v>461</v>
      </c>
      <c r="D6" s="215">
        <v>590</v>
      </c>
      <c r="E6" s="215">
        <v>900</v>
      </c>
      <c r="F6" s="215">
        <v>1188</v>
      </c>
      <c r="G6" s="215">
        <v>1516</v>
      </c>
      <c r="H6" s="215">
        <v>554</v>
      </c>
      <c r="I6" s="215">
        <v>733</v>
      </c>
      <c r="J6" s="215">
        <v>989</v>
      </c>
      <c r="K6" s="215">
        <v>1126</v>
      </c>
      <c r="L6" s="215">
        <v>1541</v>
      </c>
      <c r="M6" s="216">
        <v>1568</v>
      </c>
      <c r="N6" s="157"/>
      <c r="O6" s="157"/>
      <c r="P6" s="155">
        <v>4</v>
      </c>
      <c r="Q6" s="228">
        <v>938</v>
      </c>
      <c r="R6" s="229">
        <v>923</v>
      </c>
      <c r="S6" s="229">
        <v>953</v>
      </c>
      <c r="T6" s="229">
        <v>900</v>
      </c>
      <c r="U6" s="229">
        <v>970</v>
      </c>
      <c r="V6" s="229">
        <v>947</v>
      </c>
      <c r="W6" s="229">
        <v>884</v>
      </c>
      <c r="X6" s="230">
        <v>956</v>
      </c>
    </row>
    <row r="7" spans="1:24" x14ac:dyDescent="0.25">
      <c r="A7" s="155" t="s">
        <v>82</v>
      </c>
      <c r="B7" s="214">
        <v>273</v>
      </c>
      <c r="C7" s="215">
        <v>476</v>
      </c>
      <c r="D7" s="215">
        <v>674</v>
      </c>
      <c r="E7" s="215">
        <v>970</v>
      </c>
      <c r="F7" s="215">
        <v>1278</v>
      </c>
      <c r="G7" s="215">
        <v>1555</v>
      </c>
      <c r="H7" s="215">
        <v>547</v>
      </c>
      <c r="I7" s="215">
        <v>682</v>
      </c>
      <c r="J7" s="215">
        <v>936</v>
      </c>
      <c r="K7" s="215">
        <v>1322</v>
      </c>
      <c r="L7" s="215">
        <v>1560</v>
      </c>
      <c r="M7" s="216">
        <v>1780</v>
      </c>
      <c r="N7" s="157"/>
      <c r="O7" s="157"/>
      <c r="P7" s="155">
        <v>5</v>
      </c>
      <c r="Q7" s="228">
        <v>1181</v>
      </c>
      <c r="R7" s="229">
        <v>1230</v>
      </c>
      <c r="S7" s="229">
        <v>1283</v>
      </c>
      <c r="T7" s="229">
        <v>1188</v>
      </c>
      <c r="U7" s="229">
        <v>1278</v>
      </c>
      <c r="V7" s="229">
        <v>1197</v>
      </c>
      <c r="W7" s="229">
        <v>1177</v>
      </c>
      <c r="X7" s="230">
        <v>1333</v>
      </c>
    </row>
    <row r="8" spans="1:24" x14ac:dyDescent="0.25">
      <c r="A8" s="155" t="s">
        <v>83</v>
      </c>
      <c r="B8" s="214">
        <v>268</v>
      </c>
      <c r="C8" s="215">
        <v>469</v>
      </c>
      <c r="D8" s="215">
        <v>629</v>
      </c>
      <c r="E8" s="215">
        <v>947</v>
      </c>
      <c r="F8" s="215">
        <v>1197</v>
      </c>
      <c r="G8" s="215">
        <v>1596</v>
      </c>
      <c r="H8" s="215">
        <v>556</v>
      </c>
      <c r="I8" s="215">
        <v>748</v>
      </c>
      <c r="J8" s="215">
        <v>1012</v>
      </c>
      <c r="K8" s="215">
        <v>1461</v>
      </c>
      <c r="L8" s="215">
        <v>1529</v>
      </c>
      <c r="M8" s="216">
        <v>1781</v>
      </c>
      <c r="N8" s="157"/>
      <c r="O8" s="157"/>
      <c r="P8" s="155">
        <v>6</v>
      </c>
      <c r="Q8" s="228">
        <v>1524</v>
      </c>
      <c r="R8" s="229">
        <v>1428</v>
      </c>
      <c r="S8" s="229">
        <v>1454</v>
      </c>
      <c r="T8" s="229">
        <v>1516</v>
      </c>
      <c r="U8" s="229">
        <v>1555</v>
      </c>
      <c r="V8" s="229">
        <v>1596</v>
      </c>
      <c r="W8" s="229">
        <v>1425</v>
      </c>
      <c r="X8" s="230">
        <v>1605</v>
      </c>
    </row>
    <row r="9" spans="1:24" x14ac:dyDescent="0.25">
      <c r="A9" s="155" t="s">
        <v>84</v>
      </c>
      <c r="B9" s="214">
        <v>266</v>
      </c>
      <c r="C9" s="215">
        <v>463</v>
      </c>
      <c r="D9" s="215">
        <v>681</v>
      </c>
      <c r="E9" s="215">
        <v>884</v>
      </c>
      <c r="F9" s="215">
        <v>1177</v>
      </c>
      <c r="G9" s="215">
        <v>1425</v>
      </c>
      <c r="H9" s="215">
        <v>530</v>
      </c>
      <c r="I9" s="215">
        <v>749</v>
      </c>
      <c r="J9" s="215">
        <v>1068</v>
      </c>
      <c r="K9" s="215">
        <v>1306</v>
      </c>
      <c r="L9" s="215">
        <v>1653</v>
      </c>
      <c r="M9" s="216">
        <v>1931</v>
      </c>
      <c r="N9" s="157"/>
      <c r="O9" s="157"/>
      <c r="P9" s="155">
        <v>7</v>
      </c>
      <c r="Q9" s="228">
        <v>534</v>
      </c>
      <c r="R9" s="229">
        <v>479</v>
      </c>
      <c r="S9" s="229">
        <v>508</v>
      </c>
      <c r="T9" s="229">
        <v>554</v>
      </c>
      <c r="U9" s="229">
        <v>547</v>
      </c>
      <c r="V9" s="229">
        <v>556</v>
      </c>
      <c r="W9" s="229">
        <v>530</v>
      </c>
      <c r="X9" s="230">
        <v>543</v>
      </c>
    </row>
    <row r="10" spans="1:24" x14ac:dyDescent="0.25">
      <c r="A10" s="155" t="s">
        <v>85</v>
      </c>
      <c r="B10" s="217">
        <v>294</v>
      </c>
      <c r="C10" s="218">
        <v>511</v>
      </c>
      <c r="D10" s="218">
        <v>687</v>
      </c>
      <c r="E10" s="218">
        <v>956</v>
      </c>
      <c r="F10" s="218">
        <v>1333</v>
      </c>
      <c r="G10" s="218">
        <v>1605</v>
      </c>
      <c r="H10" s="218">
        <v>543</v>
      </c>
      <c r="I10" s="218">
        <v>685</v>
      </c>
      <c r="J10" s="218">
        <v>928</v>
      </c>
      <c r="K10" s="218">
        <v>1283</v>
      </c>
      <c r="L10" s="218">
        <v>1605</v>
      </c>
      <c r="M10" s="219">
        <v>1842</v>
      </c>
      <c r="N10" s="157"/>
      <c r="O10" s="157"/>
      <c r="P10" s="155">
        <v>8</v>
      </c>
      <c r="Q10" s="228">
        <v>755</v>
      </c>
      <c r="R10" s="229">
        <v>689</v>
      </c>
      <c r="S10" s="229">
        <v>693</v>
      </c>
      <c r="T10" s="229">
        <v>733</v>
      </c>
      <c r="U10" s="229">
        <v>682</v>
      </c>
      <c r="V10" s="229">
        <v>748</v>
      </c>
      <c r="W10" s="229">
        <v>749</v>
      </c>
      <c r="X10" s="230">
        <v>685</v>
      </c>
    </row>
    <row r="11" spans="1:24" x14ac:dyDescent="0.25">
      <c r="A11" s="157"/>
      <c r="B11" s="157"/>
      <c r="C11" s="157"/>
      <c r="D11" s="157"/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5">
        <v>9</v>
      </c>
      <c r="Q11" s="228">
        <v>1069</v>
      </c>
      <c r="R11" s="229">
        <v>968</v>
      </c>
      <c r="S11" s="229">
        <v>924</v>
      </c>
      <c r="T11" s="229">
        <v>989</v>
      </c>
      <c r="U11" s="229">
        <v>936</v>
      </c>
      <c r="V11" s="229">
        <v>1012</v>
      </c>
      <c r="W11" s="229">
        <v>1068</v>
      </c>
      <c r="X11" s="230">
        <v>928</v>
      </c>
    </row>
    <row r="12" spans="1:24" x14ac:dyDescent="0.25">
      <c r="A12" s="157"/>
      <c r="B12" s="157"/>
      <c r="C12" s="157"/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8"/>
      <c r="P12" s="155">
        <v>10</v>
      </c>
      <c r="Q12" s="228">
        <v>1090</v>
      </c>
      <c r="R12" s="229">
        <v>1326</v>
      </c>
      <c r="S12" s="229">
        <v>1261</v>
      </c>
      <c r="T12" s="229">
        <v>1126</v>
      </c>
      <c r="U12" s="229">
        <v>1322</v>
      </c>
      <c r="V12" s="229">
        <v>1461</v>
      </c>
      <c r="W12" s="229">
        <v>1306</v>
      </c>
      <c r="X12" s="230">
        <v>1283</v>
      </c>
    </row>
    <row r="13" spans="1:24" x14ac:dyDescent="0.25">
      <c r="A13" s="159"/>
      <c r="B13" s="158"/>
      <c r="C13" s="158"/>
      <c r="D13" s="153"/>
      <c r="E13" s="153"/>
      <c r="F13" s="153"/>
      <c r="G13" s="153"/>
      <c r="H13" s="153"/>
      <c r="I13" s="153"/>
      <c r="J13" s="153"/>
      <c r="K13" s="153"/>
      <c r="L13" s="157"/>
      <c r="M13" s="157"/>
      <c r="N13" s="157"/>
      <c r="O13" s="158"/>
      <c r="P13" s="155">
        <v>11</v>
      </c>
      <c r="Q13" s="228">
        <v>1607</v>
      </c>
      <c r="R13" s="229">
        <v>1505</v>
      </c>
      <c r="S13" s="229">
        <v>1368</v>
      </c>
      <c r="T13" s="229">
        <v>1541</v>
      </c>
      <c r="U13" s="229">
        <v>1560</v>
      </c>
      <c r="V13" s="229">
        <v>1529</v>
      </c>
      <c r="W13" s="229">
        <v>1653</v>
      </c>
      <c r="X13" s="230">
        <v>1605</v>
      </c>
    </row>
    <row r="14" spans="1:24" x14ac:dyDescent="0.25">
      <c r="A14" s="157" t="s">
        <v>113</v>
      </c>
      <c r="B14" s="158"/>
      <c r="C14" s="158"/>
      <c r="D14" s="153"/>
      <c r="E14" s="153"/>
      <c r="F14" s="153"/>
      <c r="G14" s="153"/>
      <c r="H14" s="153"/>
      <c r="I14" s="153"/>
      <c r="J14" s="153"/>
      <c r="K14" s="153"/>
      <c r="L14" s="160"/>
      <c r="M14" s="160"/>
      <c r="N14" s="157"/>
      <c r="O14" s="158"/>
      <c r="P14" s="155">
        <v>12</v>
      </c>
      <c r="Q14" s="231">
        <v>1825</v>
      </c>
      <c r="R14" s="232">
        <v>1969</v>
      </c>
      <c r="S14" s="232">
        <v>1795</v>
      </c>
      <c r="T14" s="232">
        <v>1568</v>
      </c>
      <c r="U14" s="232">
        <v>1780</v>
      </c>
      <c r="V14" s="232">
        <v>1781</v>
      </c>
      <c r="W14" s="232">
        <v>1931</v>
      </c>
      <c r="X14" s="233">
        <v>1842</v>
      </c>
    </row>
    <row r="15" spans="1:24" x14ac:dyDescent="0.25">
      <c r="A15" s="152" t="s">
        <v>88</v>
      </c>
      <c r="B15" s="158"/>
      <c r="C15" s="158"/>
      <c r="D15" s="158"/>
      <c r="E15" s="210" t="s">
        <v>123</v>
      </c>
      <c r="F15" s="158"/>
      <c r="G15" s="158"/>
      <c r="H15" s="158"/>
      <c r="I15" s="158"/>
      <c r="J15" s="158"/>
      <c r="K15" s="158"/>
      <c r="L15" s="157"/>
      <c r="M15" s="157"/>
      <c r="N15" s="157"/>
      <c r="O15" s="158"/>
      <c r="P15" s="153"/>
      <c r="Q15" s="158"/>
      <c r="R15" s="157"/>
      <c r="S15" s="157"/>
      <c r="T15" s="157"/>
      <c r="U15" s="157"/>
      <c r="V15" s="157"/>
      <c r="W15" s="157"/>
      <c r="X15" s="157"/>
    </row>
    <row r="16" spans="1:24" x14ac:dyDescent="0.25">
      <c r="A16" s="157"/>
      <c r="B16" s="157"/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8"/>
      <c r="P16" s="153"/>
      <c r="Q16" s="157"/>
      <c r="R16" s="157"/>
      <c r="S16" s="157"/>
      <c r="T16" s="157"/>
      <c r="U16" s="157"/>
      <c r="V16" s="157"/>
      <c r="W16" s="157"/>
      <c r="X16" s="157"/>
    </row>
    <row r="17" spans="1:24" ht="15.75" thickBot="1" x14ac:dyDescent="0.3">
      <c r="A17" s="157"/>
      <c r="B17" s="171" t="s">
        <v>90</v>
      </c>
      <c r="C17" s="157"/>
      <c r="D17" s="157"/>
      <c r="E17" s="171" t="s">
        <v>91</v>
      </c>
      <c r="F17" s="157"/>
      <c r="G17" s="157"/>
      <c r="H17" s="157"/>
      <c r="I17" s="157"/>
      <c r="J17" s="157"/>
      <c r="K17" s="157"/>
      <c r="L17" s="157"/>
      <c r="M17" s="157"/>
      <c r="N17" s="157"/>
      <c r="O17" s="158"/>
      <c r="P17" s="199"/>
      <c r="Q17" s="224"/>
      <c r="R17" s="222"/>
      <c r="S17" s="223" t="s">
        <v>98</v>
      </c>
      <c r="T17" s="221"/>
      <c r="U17" s="221" t="s">
        <v>89</v>
      </c>
      <c r="V17" s="220" t="s">
        <v>96</v>
      </c>
      <c r="W17" s="157"/>
      <c r="X17" s="157"/>
    </row>
    <row r="18" spans="1:24" x14ac:dyDescent="0.25">
      <c r="A18" s="157"/>
      <c r="B18" s="155">
        <v>1</v>
      </c>
      <c r="C18" s="155">
        <v>2</v>
      </c>
      <c r="D18" s="155">
        <v>3</v>
      </c>
      <c r="E18" s="155">
        <v>4</v>
      </c>
      <c r="F18" s="155">
        <v>5</v>
      </c>
      <c r="G18" s="155">
        <v>6</v>
      </c>
      <c r="H18" s="155">
        <v>7</v>
      </c>
      <c r="I18" s="155">
        <v>8</v>
      </c>
      <c r="J18" s="155">
        <v>9</v>
      </c>
      <c r="K18" s="155">
        <v>10</v>
      </c>
      <c r="L18" s="155">
        <v>11</v>
      </c>
      <c r="M18" s="155">
        <v>12</v>
      </c>
      <c r="N18" s="157"/>
      <c r="O18" s="157"/>
      <c r="P18" s="200" t="s">
        <v>86</v>
      </c>
      <c r="Q18" s="569" t="s">
        <v>130</v>
      </c>
      <c r="R18" s="570"/>
      <c r="S18" s="570"/>
      <c r="T18" s="571"/>
      <c r="U18" s="201">
        <v>1</v>
      </c>
      <c r="V18" s="202" t="s">
        <v>97</v>
      </c>
      <c r="W18" s="158"/>
      <c r="X18" s="158" t="s">
        <v>127</v>
      </c>
    </row>
    <row r="19" spans="1:24" x14ac:dyDescent="0.25">
      <c r="A19" s="155" t="s">
        <v>78</v>
      </c>
      <c r="B19" s="234" t="s">
        <v>114</v>
      </c>
      <c r="C19" s="235" t="s">
        <v>114</v>
      </c>
      <c r="D19" s="235" t="s">
        <v>114</v>
      </c>
      <c r="E19" s="235" t="s">
        <v>114</v>
      </c>
      <c r="F19" s="235" t="s">
        <v>114</v>
      </c>
      <c r="G19" s="235" t="s">
        <v>114</v>
      </c>
      <c r="H19" s="237" t="s">
        <v>115</v>
      </c>
      <c r="I19" s="237" t="s">
        <v>115</v>
      </c>
      <c r="J19" s="237" t="s">
        <v>115</v>
      </c>
      <c r="K19" s="237" t="s">
        <v>115</v>
      </c>
      <c r="L19" s="237" t="s">
        <v>115</v>
      </c>
      <c r="M19" s="238" t="s">
        <v>115</v>
      </c>
      <c r="N19" s="157"/>
      <c r="O19" s="157"/>
      <c r="P19" s="203" t="s">
        <v>114</v>
      </c>
      <c r="Q19" s="565" t="s">
        <v>124</v>
      </c>
      <c r="R19" s="566"/>
      <c r="S19" s="566"/>
      <c r="T19" s="566"/>
      <c r="U19" s="204"/>
      <c r="V19" s="205" t="s">
        <v>97</v>
      </c>
      <c r="W19" s="158"/>
      <c r="X19" s="158"/>
    </row>
    <row r="20" spans="1:24" x14ac:dyDescent="0.25">
      <c r="A20" s="155" t="s">
        <v>79</v>
      </c>
      <c r="B20" s="239" t="s">
        <v>115</v>
      </c>
      <c r="C20" s="240" t="s">
        <v>115</v>
      </c>
      <c r="D20" s="240" t="s">
        <v>115</v>
      </c>
      <c r="E20" s="240" t="s">
        <v>115</v>
      </c>
      <c r="F20" s="240" t="s">
        <v>115</v>
      </c>
      <c r="G20" s="240" t="s">
        <v>115</v>
      </c>
      <c r="H20" s="236" t="s">
        <v>114</v>
      </c>
      <c r="I20" s="236" t="s">
        <v>114</v>
      </c>
      <c r="J20" s="236" t="s">
        <v>114</v>
      </c>
      <c r="K20" s="236" t="s">
        <v>114</v>
      </c>
      <c r="L20" s="236" t="s">
        <v>114</v>
      </c>
      <c r="M20" s="241" t="s">
        <v>114</v>
      </c>
      <c r="N20" s="157"/>
      <c r="O20" s="158"/>
      <c r="P20" s="203" t="s">
        <v>115</v>
      </c>
      <c r="Q20" s="565" t="s">
        <v>125</v>
      </c>
      <c r="R20" s="566"/>
      <c r="S20" s="566"/>
      <c r="T20" s="566"/>
      <c r="U20" s="204"/>
      <c r="V20" s="205" t="s">
        <v>97</v>
      </c>
      <c r="W20" s="158"/>
      <c r="X20" s="158"/>
    </row>
    <row r="21" spans="1:24" x14ac:dyDescent="0.25">
      <c r="A21" s="155" t="s">
        <v>80</v>
      </c>
      <c r="B21" s="242" t="s">
        <v>116</v>
      </c>
      <c r="C21" s="243" t="s">
        <v>116</v>
      </c>
      <c r="D21" s="243" t="s">
        <v>116</v>
      </c>
      <c r="E21" s="243" t="s">
        <v>116</v>
      </c>
      <c r="F21" s="243" t="s">
        <v>116</v>
      </c>
      <c r="G21" s="243" t="s">
        <v>116</v>
      </c>
      <c r="H21" s="244" t="s">
        <v>86</v>
      </c>
      <c r="I21" s="244" t="s">
        <v>86</v>
      </c>
      <c r="J21" s="244" t="s">
        <v>86</v>
      </c>
      <c r="K21" s="244" t="s">
        <v>86</v>
      </c>
      <c r="L21" s="244" t="s">
        <v>86</v>
      </c>
      <c r="M21" s="245" t="s">
        <v>86</v>
      </c>
      <c r="N21" s="157"/>
      <c r="O21" s="158"/>
      <c r="P21" s="203" t="s">
        <v>116</v>
      </c>
      <c r="Q21" s="565" t="s">
        <v>126</v>
      </c>
      <c r="R21" s="566"/>
      <c r="S21" s="566"/>
      <c r="T21" s="566"/>
      <c r="U21" s="204"/>
      <c r="V21" s="205" t="s">
        <v>97</v>
      </c>
      <c r="W21" s="158"/>
      <c r="X21" s="158"/>
    </row>
    <row r="22" spans="1:24" x14ac:dyDescent="0.25">
      <c r="A22" s="155" t="s">
        <v>81</v>
      </c>
      <c r="B22" s="246" t="s">
        <v>86</v>
      </c>
      <c r="C22" s="244" t="s">
        <v>86</v>
      </c>
      <c r="D22" s="244" t="s">
        <v>86</v>
      </c>
      <c r="E22" s="244" t="s">
        <v>86</v>
      </c>
      <c r="F22" s="244" t="s">
        <v>86</v>
      </c>
      <c r="G22" s="244" t="s">
        <v>86</v>
      </c>
      <c r="H22" s="243" t="s">
        <v>116</v>
      </c>
      <c r="I22" s="243" t="s">
        <v>116</v>
      </c>
      <c r="J22" s="243" t="s">
        <v>116</v>
      </c>
      <c r="K22" s="243" t="s">
        <v>116</v>
      </c>
      <c r="L22" s="243" t="s">
        <v>116</v>
      </c>
      <c r="M22" s="247" t="s">
        <v>116</v>
      </c>
      <c r="N22" s="157"/>
      <c r="O22" s="158"/>
      <c r="P22" s="203" t="s">
        <v>117</v>
      </c>
      <c r="Q22" s="565"/>
      <c r="R22" s="566"/>
      <c r="S22" s="566"/>
      <c r="T22" s="566"/>
      <c r="U22" s="206"/>
      <c r="V22" s="205"/>
      <c r="W22" s="158"/>
      <c r="X22" s="158"/>
    </row>
    <row r="23" spans="1:24" x14ac:dyDescent="0.25">
      <c r="A23" s="155" t="s">
        <v>82</v>
      </c>
      <c r="B23" s="239" t="s">
        <v>115</v>
      </c>
      <c r="C23" s="240" t="s">
        <v>115</v>
      </c>
      <c r="D23" s="240" t="s">
        <v>115</v>
      </c>
      <c r="E23" s="240" t="s">
        <v>115</v>
      </c>
      <c r="F23" s="240" t="s">
        <v>115</v>
      </c>
      <c r="G23" s="240" t="s">
        <v>115</v>
      </c>
      <c r="H23" s="236" t="s">
        <v>114</v>
      </c>
      <c r="I23" s="236" t="s">
        <v>114</v>
      </c>
      <c r="J23" s="236" t="s">
        <v>114</v>
      </c>
      <c r="K23" s="236" t="s">
        <v>114</v>
      </c>
      <c r="L23" s="236" t="s">
        <v>114</v>
      </c>
      <c r="M23" s="241" t="s">
        <v>114</v>
      </c>
      <c r="N23" s="157"/>
      <c r="O23" s="158"/>
      <c r="P23" s="203" t="s">
        <v>118</v>
      </c>
      <c r="Q23" s="565"/>
      <c r="R23" s="566"/>
      <c r="S23" s="566"/>
      <c r="T23" s="566"/>
      <c r="U23" s="206"/>
      <c r="V23" s="205"/>
      <c r="W23" s="158"/>
      <c r="X23" s="158"/>
    </row>
    <row r="24" spans="1:24" x14ac:dyDescent="0.25">
      <c r="A24" s="155" t="s">
        <v>83</v>
      </c>
      <c r="B24" s="286" t="s">
        <v>114</v>
      </c>
      <c r="C24" s="236" t="s">
        <v>114</v>
      </c>
      <c r="D24" s="236" t="s">
        <v>114</v>
      </c>
      <c r="E24" s="236" t="s">
        <v>114</v>
      </c>
      <c r="F24" s="236" t="s">
        <v>114</v>
      </c>
      <c r="G24" s="236" t="s">
        <v>114</v>
      </c>
      <c r="H24" s="240" t="s">
        <v>115</v>
      </c>
      <c r="I24" s="240" t="s">
        <v>115</v>
      </c>
      <c r="J24" s="240" t="s">
        <v>115</v>
      </c>
      <c r="K24" s="240" t="s">
        <v>115</v>
      </c>
      <c r="L24" s="240" t="s">
        <v>115</v>
      </c>
      <c r="M24" s="248" t="s">
        <v>115</v>
      </c>
      <c r="N24" s="157"/>
      <c r="O24" s="157"/>
      <c r="P24" s="203" t="s">
        <v>119</v>
      </c>
      <c r="Q24" s="565"/>
      <c r="R24" s="566"/>
      <c r="S24" s="566"/>
      <c r="T24" s="566"/>
      <c r="U24" s="204"/>
      <c r="V24" s="205"/>
      <c r="W24" s="158"/>
      <c r="X24" s="158"/>
    </row>
    <row r="25" spans="1:24" x14ac:dyDescent="0.25">
      <c r="A25" s="155" t="s">
        <v>84</v>
      </c>
      <c r="B25" s="246" t="s">
        <v>86</v>
      </c>
      <c r="C25" s="244" t="s">
        <v>86</v>
      </c>
      <c r="D25" s="244" t="s">
        <v>86</v>
      </c>
      <c r="E25" s="244" t="s">
        <v>86</v>
      </c>
      <c r="F25" s="244" t="s">
        <v>86</v>
      </c>
      <c r="G25" s="244" t="s">
        <v>86</v>
      </c>
      <c r="H25" s="243" t="s">
        <v>116</v>
      </c>
      <c r="I25" s="243" t="s">
        <v>116</v>
      </c>
      <c r="J25" s="243" t="s">
        <v>116</v>
      </c>
      <c r="K25" s="243" t="s">
        <v>116</v>
      </c>
      <c r="L25" s="243" t="s">
        <v>116</v>
      </c>
      <c r="M25" s="247" t="s">
        <v>116</v>
      </c>
      <c r="N25" s="157"/>
      <c r="O25" s="157"/>
      <c r="P25" s="203" t="s">
        <v>120</v>
      </c>
      <c r="Q25" s="565"/>
      <c r="R25" s="566"/>
      <c r="S25" s="566"/>
      <c r="T25" s="566"/>
      <c r="U25" s="204"/>
      <c r="V25" s="205"/>
      <c r="W25" s="158"/>
      <c r="X25" s="158"/>
    </row>
    <row r="26" spans="1:24" x14ac:dyDescent="0.25">
      <c r="A26" s="155" t="s">
        <v>85</v>
      </c>
      <c r="B26" s="249" t="s">
        <v>116</v>
      </c>
      <c r="C26" s="250" t="s">
        <v>116</v>
      </c>
      <c r="D26" s="250" t="s">
        <v>116</v>
      </c>
      <c r="E26" s="250" t="s">
        <v>116</v>
      </c>
      <c r="F26" s="250" t="s">
        <v>116</v>
      </c>
      <c r="G26" s="250" t="s">
        <v>116</v>
      </c>
      <c r="H26" s="251" t="s">
        <v>86</v>
      </c>
      <c r="I26" s="251" t="s">
        <v>86</v>
      </c>
      <c r="J26" s="251" t="s">
        <v>86</v>
      </c>
      <c r="K26" s="251" t="s">
        <v>86</v>
      </c>
      <c r="L26" s="251" t="s">
        <v>86</v>
      </c>
      <c r="M26" s="252" t="s">
        <v>86</v>
      </c>
      <c r="N26" s="157"/>
      <c r="O26" s="157"/>
      <c r="P26" s="203" t="s">
        <v>121</v>
      </c>
      <c r="Q26" s="565"/>
      <c r="R26" s="566"/>
      <c r="S26" s="566"/>
      <c r="T26" s="566"/>
      <c r="U26" s="204"/>
      <c r="V26" s="205"/>
      <c r="W26" s="158"/>
      <c r="X26" s="158"/>
    </row>
    <row r="27" spans="1:24" x14ac:dyDescent="0.25">
      <c r="A27" s="157"/>
      <c r="B27" s="157"/>
      <c r="C27" s="157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203" t="s">
        <v>122</v>
      </c>
      <c r="Q27" s="565"/>
      <c r="R27" s="566"/>
      <c r="S27" s="566"/>
      <c r="T27" s="566"/>
      <c r="U27" s="204"/>
      <c r="V27" s="205"/>
      <c r="W27" s="158"/>
      <c r="X27" s="158"/>
    </row>
    <row r="28" spans="1:24" x14ac:dyDescent="0.25">
      <c r="A28" s="157"/>
      <c r="B28" s="157"/>
      <c r="C28" s="157"/>
      <c r="D28" s="157"/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203" t="s">
        <v>92</v>
      </c>
      <c r="Q28" s="565"/>
      <c r="R28" s="566"/>
      <c r="S28" s="566"/>
      <c r="T28" s="566"/>
      <c r="U28" s="204"/>
      <c r="V28" s="205"/>
      <c r="W28" s="157"/>
      <c r="X28" s="157"/>
    </row>
    <row r="29" spans="1:24" x14ac:dyDescent="0.25">
      <c r="A29" s="157"/>
      <c r="B29" s="157"/>
      <c r="C29" s="157"/>
      <c r="D29" s="157"/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203" t="s">
        <v>93</v>
      </c>
      <c r="Q29" s="565"/>
      <c r="R29" s="566"/>
      <c r="S29" s="566"/>
      <c r="T29" s="566"/>
      <c r="U29" s="204"/>
      <c r="V29" s="205"/>
      <c r="W29" s="158"/>
      <c r="X29" s="158"/>
    </row>
    <row r="30" spans="1:24" x14ac:dyDescent="0.25">
      <c r="A30" s="157" t="s">
        <v>110</v>
      </c>
      <c r="B30" s="157"/>
      <c r="C30" s="157"/>
      <c r="D30" s="157"/>
      <c r="E30" s="157"/>
      <c r="F30" s="157"/>
      <c r="G30" s="157"/>
      <c r="H30" s="157"/>
      <c r="I30" s="157"/>
      <c r="J30" s="157"/>
      <c r="K30" s="157"/>
      <c r="L30" s="157"/>
      <c r="M30" s="157"/>
      <c r="N30" s="157"/>
      <c r="O30" s="157"/>
      <c r="P30" s="203" t="s">
        <v>94</v>
      </c>
      <c r="Q30" s="565"/>
      <c r="R30" s="566"/>
      <c r="S30" s="566"/>
      <c r="T30" s="566"/>
      <c r="U30" s="204"/>
      <c r="V30" s="205"/>
      <c r="W30" s="158"/>
      <c r="X30" s="158"/>
    </row>
    <row r="31" spans="1:24" ht="15.75" thickBot="1" x14ac:dyDescent="0.3">
      <c r="A31" s="152" t="s">
        <v>76</v>
      </c>
      <c r="B31" s="157"/>
      <c r="C31" s="157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207" t="s">
        <v>95</v>
      </c>
      <c r="Q31" s="567"/>
      <c r="R31" s="568"/>
      <c r="S31" s="568"/>
      <c r="T31" s="568"/>
      <c r="U31" s="208"/>
      <c r="V31" s="209"/>
      <c r="W31" s="158"/>
      <c r="X31" s="158"/>
    </row>
    <row r="32" spans="1:24" ht="15.75" thickBot="1" x14ac:dyDescent="0.3">
      <c r="A32" s="157"/>
      <c r="B32" s="155">
        <v>1</v>
      </c>
      <c r="C32" s="155">
        <v>2</v>
      </c>
      <c r="D32" s="155">
        <v>3</v>
      </c>
      <c r="E32" s="155">
        <v>4</v>
      </c>
      <c r="F32" s="155">
        <v>5</v>
      </c>
      <c r="G32" s="155">
        <v>6</v>
      </c>
      <c r="H32" s="155">
        <v>7</v>
      </c>
      <c r="I32" s="155">
        <v>8</v>
      </c>
      <c r="J32" s="155">
        <v>9</v>
      </c>
      <c r="K32" s="155">
        <v>10</v>
      </c>
      <c r="L32" s="155">
        <v>11</v>
      </c>
      <c r="M32" s="155">
        <v>12</v>
      </c>
      <c r="N32" s="157"/>
      <c r="O32" s="157"/>
      <c r="P32" s="157"/>
      <c r="Q32" s="158"/>
      <c r="R32" s="158"/>
      <c r="S32" s="158"/>
      <c r="T32" s="158"/>
      <c r="U32" s="158"/>
      <c r="V32" s="158"/>
      <c r="W32" s="158"/>
      <c r="X32" s="158"/>
    </row>
    <row r="33" spans="1:24" x14ac:dyDescent="0.25">
      <c r="A33" s="155" t="s">
        <v>78</v>
      </c>
      <c r="B33" s="253">
        <v>0.1</v>
      </c>
      <c r="C33" s="254">
        <f>1/20</f>
        <v>0.05</v>
      </c>
      <c r="D33" s="254">
        <f t="shared" ref="D33:G40" si="0">C33/2</f>
        <v>2.5000000000000001E-2</v>
      </c>
      <c r="E33" s="254">
        <f t="shared" si="0"/>
        <v>1.2500000000000001E-2</v>
      </c>
      <c r="F33" s="254">
        <f t="shared" si="0"/>
        <v>6.2500000000000003E-3</v>
      </c>
      <c r="G33" s="254">
        <f t="shared" si="0"/>
        <v>3.1250000000000002E-3</v>
      </c>
      <c r="H33" s="259">
        <v>0.1</v>
      </c>
      <c r="I33" s="259">
        <f t="shared" ref="I33:M40" si="1">H33/2</f>
        <v>0.05</v>
      </c>
      <c r="J33" s="259">
        <f t="shared" si="1"/>
        <v>2.5000000000000001E-2</v>
      </c>
      <c r="K33" s="259">
        <f t="shared" si="1"/>
        <v>1.2500000000000001E-2</v>
      </c>
      <c r="L33" s="259">
        <f t="shared" si="1"/>
        <v>6.2500000000000003E-3</v>
      </c>
      <c r="M33" s="260">
        <f t="shared" si="1"/>
        <v>3.1250000000000002E-3</v>
      </c>
      <c r="N33" s="157"/>
      <c r="O33" s="157"/>
      <c r="P33" s="176" t="s">
        <v>55</v>
      </c>
      <c r="Q33" s="572">
        <f ca="1">TODAY()</f>
        <v>43448</v>
      </c>
      <c r="R33" s="572"/>
      <c r="S33" s="572"/>
      <c r="T33" s="572"/>
      <c r="U33" s="572"/>
      <c r="V33" s="573"/>
      <c r="W33" s="158"/>
      <c r="X33" s="158" t="s">
        <v>99</v>
      </c>
    </row>
    <row r="34" spans="1:24" x14ac:dyDescent="0.25">
      <c r="A34" s="155" t="s">
        <v>79</v>
      </c>
      <c r="B34" s="255">
        <v>0.1</v>
      </c>
      <c r="C34" s="256">
        <f t="shared" ref="C34:C40" si="2">1/20</f>
        <v>0.05</v>
      </c>
      <c r="D34" s="256">
        <f t="shared" si="0"/>
        <v>2.5000000000000001E-2</v>
      </c>
      <c r="E34" s="256">
        <f t="shared" si="0"/>
        <v>1.2500000000000001E-2</v>
      </c>
      <c r="F34" s="256">
        <f t="shared" si="0"/>
        <v>6.2500000000000003E-3</v>
      </c>
      <c r="G34" s="256">
        <f t="shared" si="0"/>
        <v>3.1250000000000002E-3</v>
      </c>
      <c r="H34" s="261">
        <v>0.1</v>
      </c>
      <c r="I34" s="261">
        <f t="shared" si="1"/>
        <v>0.05</v>
      </c>
      <c r="J34" s="261">
        <f t="shared" si="1"/>
        <v>2.5000000000000001E-2</v>
      </c>
      <c r="K34" s="261">
        <f t="shared" si="1"/>
        <v>1.2500000000000001E-2</v>
      </c>
      <c r="L34" s="261">
        <f t="shared" si="1"/>
        <v>6.2500000000000003E-3</v>
      </c>
      <c r="M34" s="262">
        <f t="shared" si="1"/>
        <v>3.1250000000000002E-3</v>
      </c>
      <c r="N34" s="157"/>
      <c r="O34" s="157"/>
      <c r="P34" s="574" t="s">
        <v>101</v>
      </c>
      <c r="Q34" s="575"/>
      <c r="R34" s="576"/>
      <c r="S34" s="577" t="s">
        <v>103</v>
      </c>
      <c r="T34" s="578"/>
      <c r="U34" s="578"/>
      <c r="V34" s="579"/>
      <c r="W34" s="158"/>
      <c r="X34" s="158" t="s">
        <v>111</v>
      </c>
    </row>
    <row r="35" spans="1:24" x14ac:dyDescent="0.25">
      <c r="A35" s="155" t="s">
        <v>80</v>
      </c>
      <c r="B35" s="255">
        <v>0.1</v>
      </c>
      <c r="C35" s="256">
        <f t="shared" si="2"/>
        <v>0.05</v>
      </c>
      <c r="D35" s="256">
        <f t="shared" si="0"/>
        <v>2.5000000000000001E-2</v>
      </c>
      <c r="E35" s="256">
        <f t="shared" si="0"/>
        <v>1.2500000000000001E-2</v>
      </c>
      <c r="F35" s="256">
        <f t="shared" si="0"/>
        <v>6.2500000000000003E-3</v>
      </c>
      <c r="G35" s="256">
        <f t="shared" si="0"/>
        <v>3.1250000000000002E-3</v>
      </c>
      <c r="H35" s="261">
        <v>0.1</v>
      </c>
      <c r="I35" s="261">
        <f t="shared" si="1"/>
        <v>0.05</v>
      </c>
      <c r="J35" s="261">
        <f t="shared" si="1"/>
        <v>2.5000000000000001E-2</v>
      </c>
      <c r="K35" s="261">
        <f t="shared" si="1"/>
        <v>1.2500000000000001E-2</v>
      </c>
      <c r="L35" s="261">
        <f t="shared" si="1"/>
        <v>6.2500000000000003E-3</v>
      </c>
      <c r="M35" s="262">
        <f t="shared" si="1"/>
        <v>3.1250000000000002E-3</v>
      </c>
      <c r="N35" s="157"/>
      <c r="O35" s="157"/>
      <c r="P35" s="580" t="s">
        <v>102</v>
      </c>
      <c r="Q35" s="581"/>
      <c r="R35" s="582"/>
      <c r="S35" s="583" t="s">
        <v>103</v>
      </c>
      <c r="T35" s="584"/>
      <c r="U35" s="584"/>
      <c r="V35" s="585"/>
      <c r="W35" s="158"/>
      <c r="X35" s="158" t="s">
        <v>112</v>
      </c>
    </row>
    <row r="36" spans="1:24" x14ac:dyDescent="0.25">
      <c r="A36" s="155" t="s">
        <v>81</v>
      </c>
      <c r="B36" s="255">
        <v>0.1</v>
      </c>
      <c r="C36" s="256">
        <f t="shared" si="2"/>
        <v>0.05</v>
      </c>
      <c r="D36" s="256">
        <f t="shared" si="0"/>
        <v>2.5000000000000001E-2</v>
      </c>
      <c r="E36" s="256">
        <f t="shared" si="0"/>
        <v>1.2500000000000001E-2</v>
      </c>
      <c r="F36" s="256">
        <f t="shared" si="0"/>
        <v>6.2500000000000003E-3</v>
      </c>
      <c r="G36" s="256">
        <f t="shared" si="0"/>
        <v>3.1250000000000002E-3</v>
      </c>
      <c r="H36" s="261">
        <v>0.1</v>
      </c>
      <c r="I36" s="261">
        <f t="shared" si="1"/>
        <v>0.05</v>
      </c>
      <c r="J36" s="261">
        <f t="shared" si="1"/>
        <v>2.5000000000000001E-2</v>
      </c>
      <c r="K36" s="261">
        <f t="shared" si="1"/>
        <v>1.2500000000000001E-2</v>
      </c>
      <c r="L36" s="261">
        <f t="shared" si="1"/>
        <v>6.2500000000000003E-3</v>
      </c>
      <c r="M36" s="262">
        <f t="shared" si="1"/>
        <v>3.1250000000000002E-3</v>
      </c>
      <c r="N36" s="194"/>
      <c r="O36" s="194"/>
      <c r="P36" s="194"/>
      <c r="Q36" s="195"/>
      <c r="R36" s="195"/>
      <c r="S36" s="195"/>
      <c r="T36" s="195"/>
      <c r="U36" s="195"/>
      <c r="V36" s="195"/>
      <c r="W36" s="195"/>
      <c r="X36" s="195"/>
    </row>
    <row r="37" spans="1:24" x14ac:dyDescent="0.25">
      <c r="A37" s="155" t="s">
        <v>82</v>
      </c>
      <c r="B37" s="255">
        <v>0.1</v>
      </c>
      <c r="C37" s="256">
        <f t="shared" si="2"/>
        <v>0.05</v>
      </c>
      <c r="D37" s="256">
        <f t="shared" si="0"/>
        <v>2.5000000000000001E-2</v>
      </c>
      <c r="E37" s="256">
        <f t="shared" si="0"/>
        <v>1.2500000000000001E-2</v>
      </c>
      <c r="F37" s="256">
        <f t="shared" si="0"/>
        <v>6.2500000000000003E-3</v>
      </c>
      <c r="G37" s="256">
        <f t="shared" si="0"/>
        <v>3.1250000000000002E-3</v>
      </c>
      <c r="H37" s="261">
        <v>0.1</v>
      </c>
      <c r="I37" s="261">
        <f t="shared" si="1"/>
        <v>0.05</v>
      </c>
      <c r="J37" s="261">
        <f t="shared" si="1"/>
        <v>2.5000000000000001E-2</v>
      </c>
      <c r="K37" s="261">
        <f t="shared" si="1"/>
        <v>1.2500000000000001E-2</v>
      </c>
      <c r="L37" s="261">
        <f t="shared" si="1"/>
        <v>6.2500000000000003E-3</v>
      </c>
      <c r="M37" s="262">
        <f t="shared" si="1"/>
        <v>3.1250000000000002E-3</v>
      </c>
      <c r="N37" s="194"/>
      <c r="O37" s="194"/>
      <c r="P37" s="193"/>
      <c r="Q37" s="195"/>
      <c r="R37" s="195"/>
      <c r="S37" s="195"/>
      <c r="T37" s="195"/>
      <c r="U37" s="195"/>
      <c r="V37" s="195"/>
      <c r="W37" s="195"/>
      <c r="X37" s="195"/>
    </row>
    <row r="38" spans="1:24" x14ac:dyDescent="0.25">
      <c r="A38" s="155" t="s">
        <v>83</v>
      </c>
      <c r="B38" s="255">
        <v>0.1</v>
      </c>
      <c r="C38" s="256">
        <f t="shared" si="2"/>
        <v>0.05</v>
      </c>
      <c r="D38" s="256">
        <f t="shared" si="0"/>
        <v>2.5000000000000001E-2</v>
      </c>
      <c r="E38" s="256">
        <f t="shared" si="0"/>
        <v>1.2500000000000001E-2</v>
      </c>
      <c r="F38" s="256">
        <f t="shared" si="0"/>
        <v>6.2500000000000003E-3</v>
      </c>
      <c r="G38" s="256">
        <f t="shared" si="0"/>
        <v>3.1250000000000002E-3</v>
      </c>
      <c r="H38" s="261">
        <v>0.1</v>
      </c>
      <c r="I38" s="261">
        <f t="shared" si="1"/>
        <v>0.05</v>
      </c>
      <c r="J38" s="261">
        <f t="shared" si="1"/>
        <v>2.5000000000000001E-2</v>
      </c>
      <c r="K38" s="261">
        <f t="shared" si="1"/>
        <v>1.2500000000000001E-2</v>
      </c>
      <c r="L38" s="261">
        <f t="shared" si="1"/>
        <v>6.2500000000000003E-3</v>
      </c>
      <c r="M38" s="262">
        <f t="shared" si="1"/>
        <v>3.1250000000000002E-3</v>
      </c>
      <c r="N38" s="194"/>
      <c r="O38" s="194"/>
      <c r="P38" s="194"/>
      <c r="Q38" s="195"/>
      <c r="R38" s="195"/>
      <c r="S38" s="195"/>
      <c r="T38" s="195"/>
      <c r="U38" s="195"/>
      <c r="V38" s="195"/>
      <c r="W38" s="195"/>
      <c r="X38" s="195"/>
    </row>
    <row r="39" spans="1:24" x14ac:dyDescent="0.25">
      <c r="A39" s="155" t="s">
        <v>84</v>
      </c>
      <c r="B39" s="255">
        <v>0.1</v>
      </c>
      <c r="C39" s="256">
        <f t="shared" si="2"/>
        <v>0.05</v>
      </c>
      <c r="D39" s="256">
        <f t="shared" si="0"/>
        <v>2.5000000000000001E-2</v>
      </c>
      <c r="E39" s="256">
        <f t="shared" si="0"/>
        <v>1.2500000000000001E-2</v>
      </c>
      <c r="F39" s="256">
        <f t="shared" si="0"/>
        <v>6.2500000000000003E-3</v>
      </c>
      <c r="G39" s="256">
        <f t="shared" si="0"/>
        <v>3.1250000000000002E-3</v>
      </c>
      <c r="H39" s="261">
        <v>0.1</v>
      </c>
      <c r="I39" s="261">
        <f t="shared" si="1"/>
        <v>0.05</v>
      </c>
      <c r="J39" s="261">
        <f t="shared" si="1"/>
        <v>2.5000000000000001E-2</v>
      </c>
      <c r="K39" s="261">
        <f t="shared" si="1"/>
        <v>1.2500000000000001E-2</v>
      </c>
      <c r="L39" s="261">
        <f t="shared" si="1"/>
        <v>6.2500000000000003E-3</v>
      </c>
      <c r="M39" s="262">
        <f t="shared" si="1"/>
        <v>3.1250000000000002E-3</v>
      </c>
      <c r="N39" s="194"/>
      <c r="O39" s="194"/>
      <c r="P39" s="194"/>
      <c r="Q39" s="195"/>
      <c r="R39" s="195"/>
      <c r="S39" s="195"/>
      <c r="T39" s="195"/>
      <c r="U39" s="195"/>
      <c r="V39" s="195"/>
      <c r="W39" s="195"/>
      <c r="X39" s="195"/>
    </row>
    <row r="40" spans="1:24" x14ac:dyDescent="0.25">
      <c r="A40" s="155" t="s">
        <v>85</v>
      </c>
      <c r="B40" s="257">
        <v>0.1</v>
      </c>
      <c r="C40" s="258">
        <f t="shared" si="2"/>
        <v>0.05</v>
      </c>
      <c r="D40" s="258">
        <f t="shared" si="0"/>
        <v>2.5000000000000001E-2</v>
      </c>
      <c r="E40" s="258">
        <f t="shared" si="0"/>
        <v>1.2500000000000001E-2</v>
      </c>
      <c r="F40" s="258">
        <f t="shared" si="0"/>
        <v>6.2500000000000003E-3</v>
      </c>
      <c r="G40" s="258">
        <f t="shared" si="0"/>
        <v>3.1250000000000002E-3</v>
      </c>
      <c r="H40" s="263">
        <v>0.1</v>
      </c>
      <c r="I40" s="263">
        <f t="shared" si="1"/>
        <v>0.05</v>
      </c>
      <c r="J40" s="263">
        <f t="shared" si="1"/>
        <v>2.5000000000000001E-2</v>
      </c>
      <c r="K40" s="263">
        <f t="shared" si="1"/>
        <v>1.2500000000000001E-2</v>
      </c>
      <c r="L40" s="263">
        <f t="shared" si="1"/>
        <v>6.2500000000000003E-3</v>
      </c>
      <c r="M40" s="264">
        <f t="shared" si="1"/>
        <v>3.1250000000000002E-3</v>
      </c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</row>
    <row r="44" spans="1:24" x14ac:dyDescent="0.25">
      <c r="A44" s="152" t="s">
        <v>75</v>
      </c>
      <c r="B44" s="157"/>
      <c r="C44" s="157"/>
      <c r="D44" s="157"/>
      <c r="E44" s="157"/>
      <c r="F44" s="157"/>
      <c r="G44" s="157"/>
      <c r="H44" s="157"/>
      <c r="I44" s="157"/>
      <c r="J44" s="157"/>
      <c r="K44" s="157"/>
      <c r="L44" s="157"/>
      <c r="M44" s="157"/>
      <c r="N44" s="157"/>
      <c r="O44" s="157"/>
      <c r="P44" s="157"/>
      <c r="Q44" s="157" t="s">
        <v>131</v>
      </c>
      <c r="R44" s="157"/>
      <c r="S44" s="157"/>
      <c r="T44" s="157"/>
      <c r="U44" s="157"/>
      <c r="V44" s="157"/>
      <c r="W44" s="157"/>
      <c r="X44" s="157"/>
    </row>
    <row r="45" spans="1:24" x14ac:dyDescent="0.25">
      <c r="A45" s="157"/>
      <c r="B45" s="155">
        <v>1</v>
      </c>
      <c r="C45" s="155">
        <v>2</v>
      </c>
      <c r="D45" s="155">
        <v>3</v>
      </c>
      <c r="E45" s="155">
        <v>4</v>
      </c>
      <c r="F45" s="155">
        <v>5</v>
      </c>
      <c r="G45" s="155">
        <v>6</v>
      </c>
      <c r="H45" s="155">
        <v>7</v>
      </c>
      <c r="I45" s="155">
        <v>8</v>
      </c>
      <c r="J45" s="155">
        <v>9</v>
      </c>
      <c r="K45" s="155">
        <v>10</v>
      </c>
      <c r="L45" s="155">
        <v>11</v>
      </c>
      <c r="M45" s="155">
        <v>12</v>
      </c>
      <c r="N45" s="157"/>
      <c r="O45" s="157"/>
      <c r="P45" s="157"/>
      <c r="Q45" s="155" t="s">
        <v>78</v>
      </c>
      <c r="R45" s="155" t="s">
        <v>79</v>
      </c>
      <c r="S45" s="155" t="s">
        <v>80</v>
      </c>
      <c r="T45" s="155" t="s">
        <v>81</v>
      </c>
      <c r="U45" s="155" t="s">
        <v>82</v>
      </c>
      <c r="V45" s="155" t="s">
        <v>83</v>
      </c>
      <c r="W45" s="155" t="s">
        <v>84</v>
      </c>
      <c r="X45" s="155" t="s">
        <v>85</v>
      </c>
    </row>
    <row r="46" spans="1:24" x14ac:dyDescent="0.25">
      <c r="A46" s="155" t="s">
        <v>78</v>
      </c>
      <c r="B46" s="211">
        <v>259</v>
      </c>
      <c r="C46" s="212">
        <v>434</v>
      </c>
      <c r="D46" s="212">
        <v>645</v>
      </c>
      <c r="E46" s="212">
        <v>938</v>
      </c>
      <c r="F46" s="212">
        <v>1181</v>
      </c>
      <c r="G46" s="212">
        <v>1524</v>
      </c>
      <c r="H46" s="212">
        <v>534</v>
      </c>
      <c r="I46" s="212">
        <v>755</v>
      </c>
      <c r="J46" s="212">
        <v>1069</v>
      </c>
      <c r="K46" s="212">
        <v>1090</v>
      </c>
      <c r="L46" s="212">
        <v>1607</v>
      </c>
      <c r="M46" s="213">
        <v>1825</v>
      </c>
      <c r="N46" s="157"/>
      <c r="O46" s="157"/>
      <c r="P46" s="155">
        <v>1</v>
      </c>
      <c r="Q46" s="287"/>
      <c r="R46" s="288"/>
      <c r="S46" s="288"/>
      <c r="T46" s="288"/>
      <c r="U46" s="288"/>
      <c r="V46" s="288"/>
      <c r="W46" s="288"/>
      <c r="X46" s="289"/>
    </row>
    <row r="47" spans="1:24" x14ac:dyDescent="0.25">
      <c r="A47" s="155" t="s">
        <v>79</v>
      </c>
      <c r="B47" s="214">
        <v>251</v>
      </c>
      <c r="C47" s="215">
        <v>475</v>
      </c>
      <c r="D47" s="215">
        <v>628</v>
      </c>
      <c r="E47" s="215">
        <v>923</v>
      </c>
      <c r="F47" s="215">
        <v>1230</v>
      </c>
      <c r="G47" s="215">
        <v>1428</v>
      </c>
      <c r="H47" s="215">
        <v>479</v>
      </c>
      <c r="I47" s="215">
        <v>689</v>
      </c>
      <c r="J47" s="215">
        <v>968</v>
      </c>
      <c r="K47" s="215">
        <v>1326</v>
      </c>
      <c r="L47" s="215">
        <v>1505</v>
      </c>
      <c r="M47" s="216">
        <v>1969</v>
      </c>
      <c r="N47" s="157"/>
      <c r="O47" s="157"/>
      <c r="P47" s="155">
        <v>2</v>
      </c>
      <c r="Q47" s="290"/>
      <c r="R47" s="291"/>
      <c r="S47" s="291"/>
      <c r="T47" s="291"/>
      <c r="U47" s="291"/>
      <c r="V47" s="291"/>
      <c r="W47" s="291"/>
      <c r="X47" s="292"/>
    </row>
    <row r="48" spans="1:24" x14ac:dyDescent="0.25">
      <c r="A48" s="155" t="s">
        <v>80</v>
      </c>
      <c r="B48" s="214">
        <v>250</v>
      </c>
      <c r="C48" s="215">
        <v>462</v>
      </c>
      <c r="D48" s="215">
        <v>600</v>
      </c>
      <c r="E48" s="215">
        <v>953</v>
      </c>
      <c r="F48" s="215">
        <v>1283</v>
      </c>
      <c r="G48" s="215">
        <v>1454</v>
      </c>
      <c r="H48" s="215">
        <v>508</v>
      </c>
      <c r="I48" s="215">
        <v>693</v>
      </c>
      <c r="J48" s="215">
        <v>924</v>
      </c>
      <c r="K48" s="215">
        <v>1261</v>
      </c>
      <c r="L48" s="215">
        <v>1368</v>
      </c>
      <c r="M48" s="216">
        <v>1795</v>
      </c>
      <c r="N48" s="157"/>
      <c r="O48" s="157"/>
      <c r="P48" s="155">
        <v>3</v>
      </c>
      <c r="Q48" s="290"/>
      <c r="R48" s="291"/>
      <c r="S48" s="291"/>
      <c r="T48" s="291"/>
      <c r="U48" s="291"/>
      <c r="V48" s="291"/>
      <c r="W48" s="291"/>
      <c r="X48" s="292"/>
    </row>
    <row r="49" spans="1:24" x14ac:dyDescent="0.25">
      <c r="A49" s="155" t="s">
        <v>81</v>
      </c>
      <c r="B49" s="214">
        <v>253</v>
      </c>
      <c r="C49" s="215">
        <v>461</v>
      </c>
      <c r="D49" s="215">
        <v>590</v>
      </c>
      <c r="E49" s="215">
        <v>900</v>
      </c>
      <c r="F49" s="215">
        <v>1188</v>
      </c>
      <c r="G49" s="215">
        <v>1516</v>
      </c>
      <c r="H49" s="215">
        <v>554</v>
      </c>
      <c r="I49" s="215">
        <v>733</v>
      </c>
      <c r="J49" s="215">
        <v>989</v>
      </c>
      <c r="K49" s="215">
        <v>1126</v>
      </c>
      <c r="L49" s="215">
        <v>1541</v>
      </c>
      <c r="M49" s="216">
        <v>1568</v>
      </c>
      <c r="N49" s="157"/>
      <c r="O49" s="157"/>
      <c r="P49" s="155">
        <v>4</v>
      </c>
      <c r="Q49" s="290"/>
      <c r="R49" s="291"/>
      <c r="S49" s="291"/>
      <c r="T49" s="291"/>
      <c r="U49" s="291"/>
      <c r="V49" s="291"/>
      <c r="W49" s="291"/>
      <c r="X49" s="292"/>
    </row>
    <row r="50" spans="1:24" x14ac:dyDescent="0.25">
      <c r="A50" s="155" t="s">
        <v>82</v>
      </c>
      <c r="B50" s="214">
        <v>273</v>
      </c>
      <c r="C50" s="215">
        <v>476</v>
      </c>
      <c r="D50" s="215">
        <v>674</v>
      </c>
      <c r="E50" s="215">
        <v>970</v>
      </c>
      <c r="F50" s="215">
        <v>1278</v>
      </c>
      <c r="G50" s="215">
        <v>1555</v>
      </c>
      <c r="H50" s="215">
        <v>547</v>
      </c>
      <c r="I50" s="215">
        <v>682</v>
      </c>
      <c r="J50" s="215">
        <v>936</v>
      </c>
      <c r="K50" s="215">
        <v>1322</v>
      </c>
      <c r="L50" s="215">
        <v>1560</v>
      </c>
      <c r="M50" s="216">
        <v>1780</v>
      </c>
      <c r="N50" s="157"/>
      <c r="O50" s="157"/>
      <c r="P50" s="155">
        <v>5</v>
      </c>
      <c r="Q50" s="290"/>
      <c r="R50" s="291"/>
      <c r="S50" s="291"/>
      <c r="T50" s="291"/>
      <c r="U50" s="291"/>
      <c r="V50" s="291"/>
      <c r="W50" s="291"/>
      <c r="X50" s="292"/>
    </row>
    <row r="51" spans="1:24" x14ac:dyDescent="0.25">
      <c r="A51" s="155" t="s">
        <v>83</v>
      </c>
      <c r="B51" s="214">
        <v>268</v>
      </c>
      <c r="C51" s="215">
        <v>469</v>
      </c>
      <c r="D51" s="215">
        <v>629</v>
      </c>
      <c r="E51" s="215">
        <v>947</v>
      </c>
      <c r="F51" s="215">
        <v>1197</v>
      </c>
      <c r="G51" s="215">
        <v>1596</v>
      </c>
      <c r="H51" s="215">
        <v>556</v>
      </c>
      <c r="I51" s="215">
        <v>748</v>
      </c>
      <c r="J51" s="215">
        <v>1012</v>
      </c>
      <c r="K51" s="215">
        <v>1461</v>
      </c>
      <c r="L51" s="215">
        <v>1529</v>
      </c>
      <c r="M51" s="216">
        <v>1781</v>
      </c>
      <c r="N51" s="157"/>
      <c r="O51" s="157"/>
      <c r="P51" s="155">
        <v>6</v>
      </c>
      <c r="Q51" s="290"/>
      <c r="R51" s="291"/>
      <c r="S51" s="291"/>
      <c r="T51" s="291"/>
      <c r="U51" s="291"/>
      <c r="V51" s="291"/>
      <c r="W51" s="291"/>
      <c r="X51" s="292"/>
    </row>
    <row r="52" spans="1:24" x14ac:dyDescent="0.25">
      <c r="A52" s="155" t="s">
        <v>84</v>
      </c>
      <c r="B52" s="214">
        <v>266</v>
      </c>
      <c r="C52" s="215">
        <v>463</v>
      </c>
      <c r="D52" s="215">
        <v>681</v>
      </c>
      <c r="E52" s="215">
        <v>884</v>
      </c>
      <c r="F52" s="215">
        <v>1177</v>
      </c>
      <c r="G52" s="215">
        <v>1425</v>
      </c>
      <c r="H52" s="215">
        <v>530</v>
      </c>
      <c r="I52" s="215">
        <v>749</v>
      </c>
      <c r="J52" s="215">
        <v>1068</v>
      </c>
      <c r="K52" s="215">
        <v>1306</v>
      </c>
      <c r="L52" s="215">
        <v>1653</v>
      </c>
      <c r="M52" s="216">
        <v>1931</v>
      </c>
      <c r="N52" s="157"/>
      <c r="O52" s="157"/>
      <c r="P52" s="155">
        <v>7</v>
      </c>
      <c r="Q52" s="290"/>
      <c r="R52" s="291"/>
      <c r="S52" s="291"/>
      <c r="T52" s="291"/>
      <c r="U52" s="291"/>
      <c r="V52" s="291"/>
      <c r="W52" s="291"/>
      <c r="X52" s="292"/>
    </row>
    <row r="53" spans="1:24" x14ac:dyDescent="0.25">
      <c r="A53" s="155" t="s">
        <v>85</v>
      </c>
      <c r="B53" s="217">
        <v>294</v>
      </c>
      <c r="C53" s="218">
        <v>511</v>
      </c>
      <c r="D53" s="218">
        <v>687</v>
      </c>
      <c r="E53" s="218">
        <v>956</v>
      </c>
      <c r="F53" s="218">
        <v>1333</v>
      </c>
      <c r="G53" s="218">
        <v>1605</v>
      </c>
      <c r="H53" s="218">
        <v>543</v>
      </c>
      <c r="I53" s="218">
        <v>685</v>
      </c>
      <c r="J53" s="218">
        <v>928</v>
      </c>
      <c r="K53" s="218">
        <v>1283</v>
      </c>
      <c r="L53" s="218">
        <v>1605</v>
      </c>
      <c r="M53" s="219">
        <v>1842</v>
      </c>
      <c r="N53" s="157"/>
      <c r="O53" s="157"/>
      <c r="P53" s="155">
        <v>8</v>
      </c>
      <c r="Q53" s="290"/>
      <c r="R53" s="291"/>
      <c r="S53" s="291"/>
      <c r="T53" s="291"/>
      <c r="U53" s="291"/>
      <c r="V53" s="291"/>
      <c r="W53" s="291"/>
      <c r="X53" s="292"/>
    </row>
    <row r="54" spans="1:24" x14ac:dyDescent="0.25">
      <c r="A54" s="157"/>
      <c r="B54" s="157"/>
      <c r="C54" s="157"/>
      <c r="D54" s="157"/>
      <c r="E54" s="157"/>
      <c r="F54" s="157"/>
      <c r="G54" s="157"/>
      <c r="H54" s="157"/>
      <c r="I54" s="157"/>
      <c r="J54" s="157"/>
      <c r="K54" s="157"/>
      <c r="L54" s="157"/>
      <c r="M54" s="157"/>
      <c r="N54" s="157"/>
      <c r="O54" s="157"/>
      <c r="P54" s="155">
        <v>9</v>
      </c>
      <c r="Q54" s="290"/>
      <c r="R54" s="291"/>
      <c r="S54" s="291"/>
      <c r="T54" s="291"/>
      <c r="U54" s="291"/>
      <c r="V54" s="291"/>
      <c r="W54" s="291"/>
      <c r="X54" s="292"/>
    </row>
    <row r="55" spans="1:24" x14ac:dyDescent="0.25">
      <c r="A55" s="157"/>
      <c r="B55" s="157"/>
      <c r="C55" s="157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8"/>
      <c r="P55" s="155">
        <v>10</v>
      </c>
      <c r="Q55" s="290"/>
      <c r="R55" s="291"/>
      <c r="S55" s="291"/>
      <c r="T55" s="291"/>
      <c r="U55" s="291"/>
      <c r="V55" s="291"/>
      <c r="W55" s="291"/>
      <c r="X55" s="292"/>
    </row>
    <row r="56" spans="1:24" x14ac:dyDescent="0.25">
      <c r="A56" s="159"/>
      <c r="B56" s="158"/>
      <c r="C56" s="158"/>
      <c r="D56" s="153"/>
      <c r="E56" s="153"/>
      <c r="F56" s="153"/>
      <c r="G56" s="153"/>
      <c r="H56" s="153"/>
      <c r="I56" s="153"/>
      <c r="J56" s="153"/>
      <c r="K56" s="153"/>
      <c r="L56" s="157"/>
      <c r="M56" s="157"/>
      <c r="N56" s="157"/>
      <c r="O56" s="158"/>
      <c r="P56" s="155">
        <v>11</v>
      </c>
      <c r="Q56" s="290"/>
      <c r="R56" s="291"/>
      <c r="S56" s="291"/>
      <c r="T56" s="291"/>
      <c r="U56" s="291"/>
      <c r="V56" s="291"/>
      <c r="W56" s="291"/>
      <c r="X56" s="292"/>
    </row>
    <row r="57" spans="1:24" x14ac:dyDescent="0.25">
      <c r="A57" s="157" t="s">
        <v>113</v>
      </c>
      <c r="B57" s="158"/>
      <c r="C57" s="158"/>
      <c r="D57" s="153"/>
      <c r="E57" s="153"/>
      <c r="F57" s="153"/>
      <c r="G57" s="153"/>
      <c r="H57" s="153"/>
      <c r="I57" s="153"/>
      <c r="J57" s="153"/>
      <c r="K57" s="153"/>
      <c r="L57" s="160"/>
      <c r="M57" s="160"/>
      <c r="N57" s="157"/>
      <c r="O57" s="158"/>
      <c r="P57" s="155">
        <v>12</v>
      </c>
      <c r="Q57" s="293"/>
      <c r="R57" s="294"/>
      <c r="S57" s="294"/>
      <c r="T57" s="294"/>
      <c r="U57" s="294"/>
      <c r="V57" s="294"/>
      <c r="W57" s="294"/>
      <c r="X57" s="295"/>
    </row>
    <row r="58" spans="1:24" x14ac:dyDescent="0.25">
      <c r="A58" s="152" t="s">
        <v>88</v>
      </c>
      <c r="B58" s="158"/>
      <c r="C58" s="158"/>
      <c r="D58" s="158"/>
      <c r="E58" s="210" t="s">
        <v>123</v>
      </c>
      <c r="F58" s="158"/>
      <c r="G58" s="158"/>
      <c r="H58" s="158"/>
      <c r="I58" s="158"/>
      <c r="J58" s="158"/>
      <c r="K58" s="158"/>
      <c r="L58" s="157"/>
      <c r="M58" s="157"/>
      <c r="N58" s="157"/>
      <c r="O58" s="158"/>
      <c r="P58" s="153"/>
      <c r="Q58" s="158"/>
      <c r="R58" s="157"/>
      <c r="S58" s="157"/>
      <c r="T58" s="157"/>
      <c r="U58" s="157"/>
      <c r="V58" s="157"/>
      <c r="W58" s="157"/>
      <c r="X58" s="157"/>
    </row>
    <row r="59" spans="1:24" x14ac:dyDescent="0.25">
      <c r="A59" s="157"/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8"/>
      <c r="P59" s="153"/>
      <c r="Q59" s="157"/>
      <c r="R59" s="157"/>
      <c r="S59" s="157"/>
      <c r="T59" s="157"/>
      <c r="U59" s="157"/>
      <c r="V59" s="157"/>
      <c r="W59" s="157"/>
      <c r="X59" s="157"/>
    </row>
    <row r="60" spans="1:24" ht="15.75" thickBot="1" x14ac:dyDescent="0.3">
      <c r="A60" s="157"/>
      <c r="B60" s="171" t="s">
        <v>90</v>
      </c>
      <c r="C60" s="157"/>
      <c r="D60" s="157"/>
      <c r="E60" s="171" t="s">
        <v>91</v>
      </c>
      <c r="F60" s="157"/>
      <c r="G60" s="157"/>
      <c r="H60" s="157"/>
      <c r="I60" s="157"/>
      <c r="J60" s="157"/>
      <c r="K60" s="157"/>
      <c r="L60" s="157"/>
      <c r="M60" s="157"/>
      <c r="N60" s="157"/>
      <c r="O60" s="158"/>
      <c r="P60" s="199"/>
      <c r="Q60" s="224"/>
      <c r="R60" s="222"/>
      <c r="S60" s="223" t="s">
        <v>98</v>
      </c>
      <c r="T60" s="221"/>
      <c r="U60" s="221" t="s">
        <v>89</v>
      </c>
      <c r="V60" s="220" t="s">
        <v>96</v>
      </c>
      <c r="W60" s="157"/>
      <c r="X60" s="157"/>
    </row>
    <row r="61" spans="1:24" x14ac:dyDescent="0.25">
      <c r="A61" s="157"/>
      <c r="B61" s="155">
        <v>1</v>
      </c>
      <c r="C61" s="155">
        <v>2</v>
      </c>
      <c r="D61" s="155">
        <v>3</v>
      </c>
      <c r="E61" s="155">
        <v>4</v>
      </c>
      <c r="F61" s="155">
        <v>5</v>
      </c>
      <c r="G61" s="155">
        <v>6</v>
      </c>
      <c r="H61" s="155">
        <v>7</v>
      </c>
      <c r="I61" s="155">
        <v>8</v>
      </c>
      <c r="J61" s="155">
        <v>9</v>
      </c>
      <c r="K61" s="155">
        <v>10</v>
      </c>
      <c r="L61" s="155">
        <v>11</v>
      </c>
      <c r="M61" s="155">
        <v>12</v>
      </c>
      <c r="N61" s="157"/>
      <c r="O61" s="157"/>
      <c r="P61" s="200" t="s">
        <v>86</v>
      </c>
      <c r="Q61" s="569" t="s">
        <v>133</v>
      </c>
      <c r="R61" s="570"/>
      <c r="S61" s="570"/>
      <c r="T61" s="571"/>
      <c r="U61" s="201">
        <v>1.05</v>
      </c>
      <c r="V61" s="202" t="s">
        <v>97</v>
      </c>
      <c r="W61" s="158"/>
      <c r="X61" s="157"/>
    </row>
    <row r="62" spans="1:24" x14ac:dyDescent="0.25">
      <c r="A62" s="155" t="s">
        <v>78</v>
      </c>
      <c r="B62" s="234" t="s">
        <v>114</v>
      </c>
      <c r="C62" s="235" t="s">
        <v>114</v>
      </c>
      <c r="D62" s="235" t="s">
        <v>114</v>
      </c>
      <c r="E62" s="235" t="s">
        <v>114</v>
      </c>
      <c r="F62" s="235" t="s">
        <v>114</v>
      </c>
      <c r="G62" s="235" t="s">
        <v>114</v>
      </c>
      <c r="H62" s="468" t="s">
        <v>118</v>
      </c>
      <c r="I62" s="468" t="s">
        <v>118</v>
      </c>
      <c r="J62" s="468" t="s">
        <v>118</v>
      </c>
      <c r="K62" s="468" t="s">
        <v>118</v>
      </c>
      <c r="L62" s="468" t="s">
        <v>118</v>
      </c>
      <c r="M62" s="469" t="s">
        <v>118</v>
      </c>
      <c r="N62" s="157"/>
      <c r="O62" s="157"/>
      <c r="P62" s="203" t="s">
        <v>114</v>
      </c>
      <c r="Q62" s="565" t="s">
        <v>135</v>
      </c>
      <c r="R62" s="566"/>
      <c r="S62" s="566"/>
      <c r="T62" s="566"/>
      <c r="U62" s="314" t="e">
        <v>#DIV/0!</v>
      </c>
      <c r="V62" s="205" t="s">
        <v>97</v>
      </c>
      <c r="W62" s="158"/>
      <c r="X62" s="157"/>
    </row>
    <row r="63" spans="1:24" x14ac:dyDescent="0.25">
      <c r="A63" s="155" t="s">
        <v>79</v>
      </c>
      <c r="B63" s="239" t="s">
        <v>115</v>
      </c>
      <c r="C63" s="240" t="s">
        <v>115</v>
      </c>
      <c r="D63" s="240" t="s">
        <v>115</v>
      </c>
      <c r="E63" s="240" t="s">
        <v>115</v>
      </c>
      <c r="F63" s="240" t="s">
        <v>115</v>
      </c>
      <c r="G63" s="240" t="s">
        <v>115</v>
      </c>
      <c r="H63" s="466" t="s">
        <v>117</v>
      </c>
      <c r="I63" s="466" t="s">
        <v>117</v>
      </c>
      <c r="J63" s="466" t="s">
        <v>117</v>
      </c>
      <c r="K63" s="466" t="s">
        <v>117</v>
      </c>
      <c r="L63" s="466" t="s">
        <v>117</v>
      </c>
      <c r="M63" s="467" t="s">
        <v>117</v>
      </c>
      <c r="N63" s="157"/>
      <c r="O63" s="158"/>
      <c r="P63" s="203" t="s">
        <v>115</v>
      </c>
      <c r="Q63" s="565" t="s">
        <v>136</v>
      </c>
      <c r="R63" s="566"/>
      <c r="S63" s="566"/>
      <c r="T63" s="566"/>
      <c r="U63" s="313">
        <v>0.96571887945528923</v>
      </c>
      <c r="V63" s="205" t="s">
        <v>97</v>
      </c>
      <c r="W63" s="158"/>
      <c r="X63" s="157"/>
    </row>
    <row r="64" spans="1:24" x14ac:dyDescent="0.25">
      <c r="A64" s="155" t="s">
        <v>80</v>
      </c>
      <c r="B64" s="242" t="s">
        <v>116</v>
      </c>
      <c r="C64" s="243" t="s">
        <v>116</v>
      </c>
      <c r="D64" s="243" t="s">
        <v>116</v>
      </c>
      <c r="E64" s="243" t="s">
        <v>116</v>
      </c>
      <c r="F64" s="243" t="s">
        <v>116</v>
      </c>
      <c r="G64" s="243" t="s">
        <v>116</v>
      </c>
      <c r="H64" s="472" t="s">
        <v>120</v>
      </c>
      <c r="I64" s="472" t="s">
        <v>120</v>
      </c>
      <c r="J64" s="472" t="s">
        <v>120</v>
      </c>
      <c r="K64" s="472" t="s">
        <v>120</v>
      </c>
      <c r="L64" s="472" t="s">
        <v>120</v>
      </c>
      <c r="M64" s="473" t="s">
        <v>120</v>
      </c>
      <c r="N64" s="157"/>
      <c r="O64" s="158"/>
      <c r="P64" s="203" t="s">
        <v>116</v>
      </c>
      <c r="Q64" s="565" t="s">
        <v>137</v>
      </c>
      <c r="R64" s="566"/>
      <c r="S64" s="566"/>
      <c r="T64" s="566"/>
      <c r="U64" s="314">
        <v>0.91771767330688825</v>
      </c>
      <c r="V64" s="205" t="s">
        <v>97</v>
      </c>
      <c r="W64" s="158"/>
      <c r="X64" s="157"/>
    </row>
    <row r="65" spans="1:24" x14ac:dyDescent="0.25">
      <c r="A65" s="155" t="s">
        <v>81</v>
      </c>
      <c r="B65" s="246" t="s">
        <v>86</v>
      </c>
      <c r="C65" s="244" t="s">
        <v>86</v>
      </c>
      <c r="D65" s="244" t="s">
        <v>86</v>
      </c>
      <c r="E65" s="244" t="s">
        <v>86</v>
      </c>
      <c r="F65" s="244" t="s">
        <v>86</v>
      </c>
      <c r="G65" s="244" t="s">
        <v>86</v>
      </c>
      <c r="H65" s="476" t="s">
        <v>119</v>
      </c>
      <c r="I65" s="476" t="s">
        <v>119</v>
      </c>
      <c r="J65" s="476" t="s">
        <v>119</v>
      </c>
      <c r="K65" s="476" t="s">
        <v>119</v>
      </c>
      <c r="L65" s="476" t="s">
        <v>119</v>
      </c>
      <c r="M65" s="477" t="s">
        <v>119</v>
      </c>
      <c r="N65" s="157"/>
      <c r="O65" s="158"/>
      <c r="P65" s="203" t="s">
        <v>117</v>
      </c>
      <c r="Q65" s="565" t="s">
        <v>138</v>
      </c>
      <c r="R65" s="566"/>
      <c r="S65" s="566"/>
      <c r="T65" s="566"/>
      <c r="U65" s="314">
        <v>0.43558486371350297</v>
      </c>
      <c r="V65" s="205" t="s">
        <v>97</v>
      </c>
      <c r="W65" s="158"/>
      <c r="X65" s="157"/>
    </row>
    <row r="66" spans="1:24" x14ac:dyDescent="0.25">
      <c r="A66" s="155" t="s">
        <v>82</v>
      </c>
      <c r="B66" s="239" t="s">
        <v>115</v>
      </c>
      <c r="C66" s="240" t="s">
        <v>115</v>
      </c>
      <c r="D66" s="240" t="s">
        <v>115</v>
      </c>
      <c r="E66" s="240" t="s">
        <v>115</v>
      </c>
      <c r="F66" s="240" t="s">
        <v>115</v>
      </c>
      <c r="G66" s="240" t="s">
        <v>115</v>
      </c>
      <c r="H66" s="466" t="s">
        <v>117</v>
      </c>
      <c r="I66" s="466" t="s">
        <v>117</v>
      </c>
      <c r="J66" s="466" t="s">
        <v>117</v>
      </c>
      <c r="K66" s="466" t="s">
        <v>117</v>
      </c>
      <c r="L66" s="466" t="s">
        <v>117</v>
      </c>
      <c r="M66" s="467" t="s">
        <v>117</v>
      </c>
      <c r="N66" s="157"/>
      <c r="O66" s="158"/>
      <c r="P66" s="203" t="s">
        <v>118</v>
      </c>
      <c r="Q66" s="565" t="s">
        <v>139</v>
      </c>
      <c r="R66" s="566"/>
      <c r="S66" s="566"/>
      <c r="T66" s="566"/>
      <c r="U66" s="313">
        <v>0.40013178330797156</v>
      </c>
      <c r="V66" s="205" t="s">
        <v>97</v>
      </c>
      <c r="W66" s="158"/>
      <c r="X66" s="157"/>
    </row>
    <row r="67" spans="1:24" x14ac:dyDescent="0.25">
      <c r="A67" s="155" t="s">
        <v>83</v>
      </c>
      <c r="B67" s="286" t="s">
        <v>114</v>
      </c>
      <c r="C67" s="236" t="s">
        <v>114</v>
      </c>
      <c r="D67" s="236" t="s">
        <v>114</v>
      </c>
      <c r="E67" s="236" t="s">
        <v>114</v>
      </c>
      <c r="F67" s="236" t="s">
        <v>114</v>
      </c>
      <c r="G67" s="236" t="s">
        <v>114</v>
      </c>
      <c r="H67" s="470" t="s">
        <v>118</v>
      </c>
      <c r="I67" s="470" t="s">
        <v>118</v>
      </c>
      <c r="J67" s="470" t="s">
        <v>118</v>
      </c>
      <c r="K67" s="470" t="s">
        <v>118</v>
      </c>
      <c r="L67" s="470" t="s">
        <v>118</v>
      </c>
      <c r="M67" s="471" t="s">
        <v>118</v>
      </c>
      <c r="N67" s="157"/>
      <c r="O67" s="157"/>
      <c r="P67" s="203" t="s">
        <v>119</v>
      </c>
      <c r="Q67" s="565" t="s">
        <v>140</v>
      </c>
      <c r="R67" s="566"/>
      <c r="S67" s="566"/>
      <c r="T67" s="566"/>
      <c r="U67" s="313">
        <v>0.41693819559224515</v>
      </c>
      <c r="V67" s="205" t="s">
        <v>97</v>
      </c>
      <c r="W67" s="158"/>
      <c r="X67" s="157"/>
    </row>
    <row r="68" spans="1:24" x14ac:dyDescent="0.25">
      <c r="A68" s="155" t="s">
        <v>84</v>
      </c>
      <c r="B68" s="246" t="s">
        <v>86</v>
      </c>
      <c r="C68" s="244" t="s">
        <v>86</v>
      </c>
      <c r="D68" s="244" t="s">
        <v>86</v>
      </c>
      <c r="E68" s="244" t="s">
        <v>86</v>
      </c>
      <c r="F68" s="244" t="s">
        <v>86</v>
      </c>
      <c r="G68" s="244" t="s">
        <v>86</v>
      </c>
      <c r="H68" s="476" t="s">
        <v>119</v>
      </c>
      <c r="I68" s="476" t="s">
        <v>119</v>
      </c>
      <c r="J68" s="476" t="s">
        <v>119</v>
      </c>
      <c r="K68" s="476" t="s">
        <v>119</v>
      </c>
      <c r="L68" s="476" t="s">
        <v>119</v>
      </c>
      <c r="M68" s="477" t="s">
        <v>119</v>
      </c>
      <c r="N68" s="157"/>
      <c r="O68" s="157"/>
      <c r="P68" s="203" t="s">
        <v>120</v>
      </c>
      <c r="Q68" s="565" t="s">
        <v>141</v>
      </c>
      <c r="R68" s="566"/>
      <c r="S68" s="566"/>
      <c r="T68" s="566"/>
      <c r="U68" s="313">
        <v>0.45759436232815298</v>
      </c>
      <c r="V68" s="205" t="s">
        <v>97</v>
      </c>
      <c r="W68" s="158"/>
      <c r="X68" s="157"/>
    </row>
    <row r="69" spans="1:24" x14ac:dyDescent="0.25">
      <c r="A69" s="155" t="s">
        <v>85</v>
      </c>
      <c r="B69" s="249" t="s">
        <v>116</v>
      </c>
      <c r="C69" s="250" t="s">
        <v>116</v>
      </c>
      <c r="D69" s="250" t="s">
        <v>116</v>
      </c>
      <c r="E69" s="250" t="s">
        <v>116</v>
      </c>
      <c r="F69" s="250" t="s">
        <v>116</v>
      </c>
      <c r="G69" s="250" t="s">
        <v>116</v>
      </c>
      <c r="H69" s="474" t="s">
        <v>120</v>
      </c>
      <c r="I69" s="474" t="s">
        <v>120</v>
      </c>
      <c r="J69" s="474" t="s">
        <v>120</v>
      </c>
      <c r="K69" s="474" t="s">
        <v>120</v>
      </c>
      <c r="L69" s="474" t="s">
        <v>120</v>
      </c>
      <c r="M69" s="475" t="s">
        <v>120</v>
      </c>
      <c r="N69" s="157"/>
      <c r="O69" s="157"/>
      <c r="P69" s="203" t="s">
        <v>121</v>
      </c>
      <c r="Q69" s="565"/>
      <c r="R69" s="566"/>
      <c r="S69" s="566"/>
      <c r="T69" s="566"/>
      <c r="U69" s="315"/>
      <c r="V69" s="205"/>
      <c r="W69" s="158"/>
      <c r="X69" s="157"/>
    </row>
    <row r="70" spans="1:24" x14ac:dyDescent="0.25">
      <c r="A70" s="157"/>
      <c r="B70" s="157"/>
      <c r="C70" s="157"/>
      <c r="D70" s="157"/>
      <c r="E70" s="157"/>
      <c r="F70" s="157"/>
      <c r="G70" s="157"/>
      <c r="H70" s="157"/>
      <c r="I70" s="157"/>
      <c r="J70" s="157"/>
      <c r="K70" s="157"/>
      <c r="L70" s="157"/>
      <c r="M70" s="157"/>
      <c r="N70" s="157"/>
      <c r="O70" s="157"/>
      <c r="P70" s="203" t="s">
        <v>122</v>
      </c>
      <c r="Q70" s="565"/>
      <c r="R70" s="566"/>
      <c r="S70" s="566"/>
      <c r="T70" s="566"/>
      <c r="U70" s="315"/>
      <c r="V70" s="205"/>
      <c r="W70" s="158"/>
      <c r="X70" s="157"/>
    </row>
    <row r="71" spans="1:24" x14ac:dyDescent="0.25">
      <c r="A71" s="157"/>
      <c r="B71" s="157"/>
      <c r="C71" s="157"/>
      <c r="D71" s="157"/>
      <c r="E71" s="157"/>
      <c r="F71" s="157"/>
      <c r="G71" s="157"/>
      <c r="H71" s="157"/>
      <c r="I71" s="157"/>
      <c r="J71" s="157"/>
      <c r="K71" s="157"/>
      <c r="L71" s="157"/>
      <c r="M71" s="157"/>
      <c r="N71" s="157"/>
      <c r="O71" s="157"/>
      <c r="P71" s="203" t="s">
        <v>92</v>
      </c>
      <c r="Q71" s="565"/>
      <c r="R71" s="566"/>
      <c r="S71" s="566"/>
      <c r="T71" s="566"/>
      <c r="U71" s="315"/>
      <c r="V71" s="205"/>
      <c r="W71" s="157"/>
      <c r="X71" s="157"/>
    </row>
    <row r="72" spans="1:24" x14ac:dyDescent="0.25">
      <c r="A72" s="157"/>
      <c r="B72" s="157"/>
      <c r="C72" s="157"/>
      <c r="D72" s="157"/>
      <c r="E72" s="157"/>
      <c r="F72" s="157"/>
      <c r="G72" s="157"/>
      <c r="H72" s="157"/>
      <c r="I72" s="157"/>
      <c r="J72" s="157"/>
      <c r="K72" s="157"/>
      <c r="L72" s="157"/>
      <c r="M72" s="157"/>
      <c r="N72" s="157"/>
      <c r="O72" s="157"/>
      <c r="P72" s="203" t="s">
        <v>93</v>
      </c>
      <c r="Q72" s="565"/>
      <c r="R72" s="566"/>
      <c r="S72" s="566"/>
      <c r="T72" s="566"/>
      <c r="U72" s="315"/>
      <c r="V72" s="205"/>
      <c r="W72" s="158"/>
      <c r="X72" s="157"/>
    </row>
    <row r="73" spans="1:24" x14ac:dyDescent="0.25">
      <c r="A73" s="157" t="s">
        <v>110</v>
      </c>
      <c r="B73" s="157"/>
      <c r="C73" s="157"/>
      <c r="D73" s="157"/>
      <c r="E73" s="157"/>
      <c r="F73" s="157"/>
      <c r="G73" s="157"/>
      <c r="H73" s="157"/>
      <c r="I73" s="157"/>
      <c r="J73" s="157"/>
      <c r="K73" s="157"/>
      <c r="L73" s="157"/>
      <c r="M73" s="157"/>
      <c r="N73" s="157"/>
      <c r="O73" s="157"/>
      <c r="P73" s="203" t="s">
        <v>94</v>
      </c>
      <c r="Q73" s="565"/>
      <c r="R73" s="566"/>
      <c r="S73" s="566"/>
      <c r="T73" s="566"/>
      <c r="U73" s="315"/>
      <c r="V73" s="205"/>
      <c r="W73" s="158"/>
      <c r="X73" s="157"/>
    </row>
    <row r="74" spans="1:24" ht="15.75" thickBot="1" x14ac:dyDescent="0.3">
      <c r="A74" s="152" t="s">
        <v>76</v>
      </c>
      <c r="B74" s="157"/>
      <c r="C74" s="157"/>
      <c r="D74" s="157"/>
      <c r="E74" s="157"/>
      <c r="F74" s="157"/>
      <c r="G74" s="157" t="s">
        <v>134</v>
      </c>
      <c r="H74" s="157"/>
      <c r="I74" s="157"/>
      <c r="J74" s="157"/>
      <c r="K74" s="157"/>
      <c r="L74" s="157"/>
      <c r="M74" s="157"/>
      <c r="N74" s="157"/>
      <c r="O74" s="157"/>
      <c r="P74" s="207" t="s">
        <v>95</v>
      </c>
      <c r="Q74" s="567"/>
      <c r="R74" s="568"/>
      <c r="S74" s="568"/>
      <c r="T74" s="568"/>
      <c r="U74" s="316"/>
      <c r="V74" s="209"/>
      <c r="W74" s="158"/>
      <c r="X74" s="157"/>
    </row>
    <row r="75" spans="1:24" ht="15.75" thickBot="1" x14ac:dyDescent="0.3">
      <c r="A75" s="157"/>
      <c r="B75" s="155">
        <v>1</v>
      </c>
      <c r="C75" s="155">
        <v>2</v>
      </c>
      <c r="D75" s="155">
        <v>3</v>
      </c>
      <c r="E75" s="155">
        <v>4</v>
      </c>
      <c r="F75" s="155">
        <v>5</v>
      </c>
      <c r="G75" s="155">
        <v>6</v>
      </c>
      <c r="H75" s="155">
        <v>7</v>
      </c>
      <c r="I75" s="155">
        <v>8</v>
      </c>
      <c r="J75" s="155">
        <v>9</v>
      </c>
      <c r="K75" s="155">
        <v>10</v>
      </c>
      <c r="L75" s="155">
        <v>11</v>
      </c>
      <c r="M75" s="155">
        <v>12</v>
      </c>
      <c r="N75" s="157"/>
      <c r="O75" s="157"/>
      <c r="P75" s="157"/>
      <c r="Q75" s="158"/>
      <c r="R75" s="158"/>
      <c r="S75" s="158"/>
      <c r="T75" s="158"/>
      <c r="U75" s="158"/>
      <c r="V75" s="158"/>
      <c r="W75" s="158"/>
      <c r="X75" s="157"/>
    </row>
    <row r="76" spans="1:24" x14ac:dyDescent="0.25">
      <c r="A76" s="155" t="s">
        <v>78</v>
      </c>
      <c r="B76" s="301">
        <v>0.1</v>
      </c>
      <c r="C76" s="302">
        <f>1/20</f>
        <v>0.05</v>
      </c>
      <c r="D76" s="302">
        <f t="shared" ref="D76:G83" si="3">C76/2</f>
        <v>2.5000000000000001E-2</v>
      </c>
      <c r="E76" s="302">
        <f t="shared" si="3"/>
        <v>1.2500000000000001E-2</v>
      </c>
      <c r="F76" s="302">
        <f t="shared" si="3"/>
        <v>6.2500000000000003E-3</v>
      </c>
      <c r="G76" s="302">
        <f t="shared" si="3"/>
        <v>3.1250000000000002E-3</v>
      </c>
      <c r="H76" s="307">
        <v>0.1</v>
      </c>
      <c r="I76" s="307">
        <f t="shared" ref="I76:M83" si="4">H76/2</f>
        <v>0.05</v>
      </c>
      <c r="J76" s="307">
        <f t="shared" si="4"/>
        <v>2.5000000000000001E-2</v>
      </c>
      <c r="K76" s="307">
        <f t="shared" si="4"/>
        <v>1.2500000000000001E-2</v>
      </c>
      <c r="L76" s="307">
        <f t="shared" si="4"/>
        <v>6.2500000000000003E-3</v>
      </c>
      <c r="M76" s="308">
        <f t="shared" si="4"/>
        <v>3.1250000000000002E-3</v>
      </c>
      <c r="N76" s="157"/>
      <c r="O76" s="157"/>
      <c r="P76" s="176" t="s">
        <v>55</v>
      </c>
      <c r="Q76" s="572">
        <f ca="1">TODAY()</f>
        <v>43448</v>
      </c>
      <c r="R76" s="572"/>
      <c r="S76" s="572"/>
      <c r="T76" s="572"/>
      <c r="U76" s="572"/>
      <c r="V76" s="573"/>
      <c r="W76" s="158"/>
      <c r="X76" s="157"/>
    </row>
    <row r="77" spans="1:24" x14ac:dyDescent="0.25">
      <c r="A77" s="155" t="s">
        <v>79</v>
      </c>
      <c r="B77" s="303">
        <v>0.1</v>
      </c>
      <c r="C77" s="304">
        <f t="shared" ref="C77:C83" si="5">1/20</f>
        <v>0.05</v>
      </c>
      <c r="D77" s="304">
        <f t="shared" si="3"/>
        <v>2.5000000000000001E-2</v>
      </c>
      <c r="E77" s="304">
        <f t="shared" si="3"/>
        <v>1.2500000000000001E-2</v>
      </c>
      <c r="F77" s="304">
        <f t="shared" si="3"/>
        <v>6.2500000000000003E-3</v>
      </c>
      <c r="G77" s="304">
        <f t="shared" si="3"/>
        <v>3.1250000000000002E-3</v>
      </c>
      <c r="H77" s="309">
        <v>0.1</v>
      </c>
      <c r="I77" s="309">
        <f t="shared" si="4"/>
        <v>0.05</v>
      </c>
      <c r="J77" s="309">
        <f t="shared" si="4"/>
        <v>2.5000000000000001E-2</v>
      </c>
      <c r="K77" s="309">
        <f t="shared" si="4"/>
        <v>1.2500000000000001E-2</v>
      </c>
      <c r="L77" s="309">
        <f t="shared" si="4"/>
        <v>6.2500000000000003E-3</v>
      </c>
      <c r="M77" s="310">
        <f t="shared" si="4"/>
        <v>3.1250000000000002E-3</v>
      </c>
      <c r="N77" s="157"/>
      <c r="O77" s="157"/>
      <c r="P77" s="574" t="s">
        <v>101</v>
      </c>
      <c r="Q77" s="575"/>
      <c r="R77" s="576"/>
      <c r="S77" s="577" t="s">
        <v>103</v>
      </c>
      <c r="T77" s="578"/>
      <c r="U77" s="578"/>
      <c r="V77" s="579"/>
      <c r="W77" s="158"/>
      <c r="X77" s="157"/>
    </row>
    <row r="78" spans="1:24" x14ac:dyDescent="0.25">
      <c r="A78" s="155" t="s">
        <v>80</v>
      </c>
      <c r="B78" s="303">
        <v>0.1</v>
      </c>
      <c r="C78" s="304">
        <f t="shared" si="5"/>
        <v>0.05</v>
      </c>
      <c r="D78" s="304">
        <f t="shared" si="3"/>
        <v>2.5000000000000001E-2</v>
      </c>
      <c r="E78" s="304">
        <f t="shared" si="3"/>
        <v>1.2500000000000001E-2</v>
      </c>
      <c r="F78" s="304">
        <f t="shared" si="3"/>
        <v>6.2500000000000003E-3</v>
      </c>
      <c r="G78" s="304">
        <f t="shared" si="3"/>
        <v>3.1250000000000002E-3</v>
      </c>
      <c r="H78" s="309">
        <v>0.1</v>
      </c>
      <c r="I78" s="309">
        <f t="shared" si="4"/>
        <v>0.05</v>
      </c>
      <c r="J78" s="309">
        <f t="shared" si="4"/>
        <v>2.5000000000000001E-2</v>
      </c>
      <c r="K78" s="309">
        <f t="shared" si="4"/>
        <v>1.2500000000000001E-2</v>
      </c>
      <c r="L78" s="309">
        <f t="shared" si="4"/>
        <v>6.2500000000000003E-3</v>
      </c>
      <c r="M78" s="310">
        <f t="shared" si="4"/>
        <v>3.1250000000000002E-3</v>
      </c>
      <c r="N78" s="157"/>
      <c r="O78" s="157"/>
      <c r="P78" s="580" t="s">
        <v>102</v>
      </c>
      <c r="Q78" s="581"/>
      <c r="R78" s="582"/>
      <c r="S78" s="583" t="s">
        <v>103</v>
      </c>
      <c r="T78" s="584"/>
      <c r="U78" s="584"/>
      <c r="V78" s="585"/>
      <c r="W78" s="158"/>
      <c r="X78" s="157"/>
    </row>
    <row r="79" spans="1:24" x14ac:dyDescent="0.25">
      <c r="A79" s="155" t="s">
        <v>81</v>
      </c>
      <c r="B79" s="303">
        <v>0.1</v>
      </c>
      <c r="C79" s="304">
        <f t="shared" si="5"/>
        <v>0.05</v>
      </c>
      <c r="D79" s="304">
        <f t="shared" si="3"/>
        <v>2.5000000000000001E-2</v>
      </c>
      <c r="E79" s="304">
        <f t="shared" si="3"/>
        <v>1.2500000000000001E-2</v>
      </c>
      <c r="F79" s="304">
        <f t="shared" si="3"/>
        <v>6.2500000000000003E-3</v>
      </c>
      <c r="G79" s="304">
        <f t="shared" si="3"/>
        <v>3.1250000000000002E-3</v>
      </c>
      <c r="H79" s="309">
        <v>0.1</v>
      </c>
      <c r="I79" s="309">
        <f t="shared" si="4"/>
        <v>0.05</v>
      </c>
      <c r="J79" s="309">
        <f t="shared" si="4"/>
        <v>2.5000000000000001E-2</v>
      </c>
      <c r="K79" s="309">
        <f t="shared" si="4"/>
        <v>1.2500000000000001E-2</v>
      </c>
      <c r="L79" s="309">
        <f t="shared" si="4"/>
        <v>6.2500000000000003E-3</v>
      </c>
      <c r="M79" s="310">
        <f>L79/2</f>
        <v>3.1250000000000002E-3</v>
      </c>
      <c r="N79" s="194"/>
      <c r="O79" s="194"/>
      <c r="P79" s="194"/>
      <c r="Q79" s="195"/>
      <c r="R79" s="195"/>
      <c r="S79" s="195"/>
      <c r="T79" s="195"/>
      <c r="U79" s="195"/>
      <c r="V79" s="195"/>
      <c r="W79" s="195"/>
      <c r="X79" s="195"/>
    </row>
    <row r="80" spans="1:24" x14ac:dyDescent="0.25">
      <c r="A80" s="155" t="s">
        <v>82</v>
      </c>
      <c r="B80" s="303">
        <v>0.1</v>
      </c>
      <c r="C80" s="304">
        <f t="shared" si="5"/>
        <v>0.05</v>
      </c>
      <c r="D80" s="304">
        <f t="shared" si="3"/>
        <v>2.5000000000000001E-2</v>
      </c>
      <c r="E80" s="304">
        <f t="shared" si="3"/>
        <v>1.2500000000000001E-2</v>
      </c>
      <c r="F80" s="304">
        <f t="shared" si="3"/>
        <v>6.2500000000000003E-3</v>
      </c>
      <c r="G80" s="304">
        <f t="shared" si="3"/>
        <v>3.1250000000000002E-3</v>
      </c>
      <c r="H80" s="309">
        <v>0.1</v>
      </c>
      <c r="I80" s="309">
        <f t="shared" si="4"/>
        <v>0.05</v>
      </c>
      <c r="J80" s="309">
        <f t="shared" si="4"/>
        <v>2.5000000000000001E-2</v>
      </c>
      <c r="K80" s="309">
        <f t="shared" si="4"/>
        <v>1.2500000000000001E-2</v>
      </c>
      <c r="L80" s="309">
        <f t="shared" si="4"/>
        <v>6.2500000000000003E-3</v>
      </c>
      <c r="M80" s="310">
        <f t="shared" si="4"/>
        <v>3.1250000000000002E-3</v>
      </c>
      <c r="N80" s="194"/>
      <c r="O80" s="194"/>
      <c r="P80" s="193"/>
      <c r="Q80" s="195"/>
      <c r="R80" s="195"/>
      <c r="S80" s="195"/>
      <c r="T80" s="195"/>
      <c r="U80" s="195"/>
      <c r="V80" s="195"/>
      <c r="W80" s="195"/>
      <c r="X80" s="195"/>
    </row>
    <row r="81" spans="1:24" x14ac:dyDescent="0.25">
      <c r="A81" s="155" t="s">
        <v>83</v>
      </c>
      <c r="B81" s="303">
        <v>0.1</v>
      </c>
      <c r="C81" s="304">
        <f t="shared" si="5"/>
        <v>0.05</v>
      </c>
      <c r="D81" s="304">
        <f t="shared" si="3"/>
        <v>2.5000000000000001E-2</v>
      </c>
      <c r="E81" s="304">
        <f t="shared" si="3"/>
        <v>1.2500000000000001E-2</v>
      </c>
      <c r="F81" s="304">
        <f t="shared" si="3"/>
        <v>6.2500000000000003E-3</v>
      </c>
      <c r="G81" s="304">
        <f t="shared" si="3"/>
        <v>3.1250000000000002E-3</v>
      </c>
      <c r="H81" s="309">
        <v>0.1</v>
      </c>
      <c r="I81" s="309">
        <f t="shared" si="4"/>
        <v>0.05</v>
      </c>
      <c r="J81" s="309">
        <f t="shared" si="4"/>
        <v>2.5000000000000001E-2</v>
      </c>
      <c r="K81" s="309">
        <f t="shared" si="4"/>
        <v>1.2500000000000001E-2</v>
      </c>
      <c r="L81" s="309">
        <f t="shared" si="4"/>
        <v>6.2500000000000003E-3</v>
      </c>
      <c r="M81" s="310">
        <f t="shared" si="4"/>
        <v>3.1250000000000002E-3</v>
      </c>
      <c r="N81" s="194"/>
      <c r="O81" s="194"/>
      <c r="P81" s="194"/>
      <c r="Q81" s="195"/>
      <c r="R81" s="195"/>
      <c r="S81" s="195"/>
      <c r="T81" s="195"/>
      <c r="U81" s="195"/>
      <c r="V81" s="195"/>
      <c r="W81" s="195"/>
      <c r="X81" s="195"/>
    </row>
    <row r="82" spans="1:24" x14ac:dyDescent="0.25">
      <c r="A82" s="155" t="s">
        <v>84</v>
      </c>
      <c r="B82" s="303">
        <v>0.1</v>
      </c>
      <c r="C82" s="304">
        <f t="shared" si="5"/>
        <v>0.05</v>
      </c>
      <c r="D82" s="304">
        <f t="shared" si="3"/>
        <v>2.5000000000000001E-2</v>
      </c>
      <c r="E82" s="304">
        <f t="shared" si="3"/>
        <v>1.2500000000000001E-2</v>
      </c>
      <c r="F82" s="304">
        <f t="shared" si="3"/>
        <v>6.2500000000000003E-3</v>
      </c>
      <c r="G82" s="304">
        <f t="shared" si="3"/>
        <v>3.1250000000000002E-3</v>
      </c>
      <c r="H82" s="309">
        <v>0.1</v>
      </c>
      <c r="I82" s="309">
        <f t="shared" si="4"/>
        <v>0.05</v>
      </c>
      <c r="J82" s="309">
        <f t="shared" si="4"/>
        <v>2.5000000000000001E-2</v>
      </c>
      <c r="K82" s="309">
        <f t="shared" si="4"/>
        <v>1.2500000000000001E-2</v>
      </c>
      <c r="L82" s="309">
        <f t="shared" si="4"/>
        <v>6.2500000000000003E-3</v>
      </c>
      <c r="M82" s="310">
        <f t="shared" si="4"/>
        <v>3.1250000000000002E-3</v>
      </c>
      <c r="N82" s="194"/>
      <c r="O82" s="194"/>
      <c r="P82" s="194"/>
      <c r="Q82" s="195"/>
      <c r="R82" s="195"/>
      <c r="S82" s="195"/>
      <c r="T82" s="195"/>
      <c r="U82" s="195"/>
      <c r="V82" s="195"/>
      <c r="W82" s="195"/>
      <c r="X82" s="195"/>
    </row>
    <row r="83" spans="1:24" x14ac:dyDescent="0.25">
      <c r="A83" s="155" t="s">
        <v>85</v>
      </c>
      <c r="B83" s="305">
        <v>0.1</v>
      </c>
      <c r="C83" s="306">
        <f t="shared" si="5"/>
        <v>0.05</v>
      </c>
      <c r="D83" s="306">
        <f t="shared" si="3"/>
        <v>2.5000000000000001E-2</v>
      </c>
      <c r="E83" s="306">
        <f t="shared" si="3"/>
        <v>1.2500000000000001E-2</v>
      </c>
      <c r="F83" s="306">
        <f t="shared" si="3"/>
        <v>6.2500000000000003E-3</v>
      </c>
      <c r="G83" s="306">
        <f t="shared" si="3"/>
        <v>3.1250000000000002E-3</v>
      </c>
      <c r="H83" s="311">
        <v>0.1</v>
      </c>
      <c r="I83" s="311">
        <f t="shared" si="4"/>
        <v>0.05</v>
      </c>
      <c r="J83" s="311">
        <f t="shared" si="4"/>
        <v>2.5000000000000001E-2</v>
      </c>
      <c r="K83" s="311">
        <f t="shared" si="4"/>
        <v>1.2500000000000001E-2</v>
      </c>
      <c r="L83" s="311">
        <f t="shared" si="4"/>
        <v>6.2500000000000003E-3</v>
      </c>
      <c r="M83" s="312">
        <f t="shared" si="4"/>
        <v>3.1250000000000002E-3</v>
      </c>
      <c r="N83" s="194"/>
      <c r="O83" s="194"/>
      <c r="P83" s="194"/>
      <c r="Q83" s="194"/>
      <c r="R83" s="194"/>
      <c r="S83" s="194"/>
      <c r="T83" s="194"/>
      <c r="U83" s="194"/>
      <c r="V83" s="194"/>
      <c r="W83" s="194"/>
      <c r="X83" s="194"/>
    </row>
    <row r="84" spans="1:24" x14ac:dyDescent="0.25">
      <c r="A84" s="157"/>
      <c r="B84" s="157"/>
      <c r="C84" s="157"/>
      <c r="D84" s="157"/>
      <c r="E84" s="157"/>
      <c r="F84" s="157"/>
      <c r="G84" s="157"/>
      <c r="H84" s="157"/>
      <c r="I84" s="157"/>
      <c r="J84" s="157"/>
      <c r="K84" s="157"/>
      <c r="L84" s="157"/>
      <c r="M84" s="157"/>
      <c r="N84" s="194"/>
      <c r="O84" s="194"/>
      <c r="P84" s="194"/>
      <c r="Q84" s="194"/>
      <c r="R84" s="194"/>
      <c r="S84" s="194"/>
      <c r="T84" s="194"/>
      <c r="U84" s="194"/>
      <c r="V84" s="194"/>
      <c r="W84" s="194"/>
      <c r="X84" s="194"/>
    </row>
  </sheetData>
  <mergeCells count="38">
    <mergeCell ref="P77:R77"/>
    <mergeCell ref="S77:V77"/>
    <mergeCell ref="P78:R78"/>
    <mergeCell ref="S78:V78"/>
    <mergeCell ref="Q71:T71"/>
    <mergeCell ref="Q72:T72"/>
    <mergeCell ref="Q73:T73"/>
    <mergeCell ref="Q74:T74"/>
    <mergeCell ref="Q76:V76"/>
    <mergeCell ref="Q66:T66"/>
    <mergeCell ref="Q67:T67"/>
    <mergeCell ref="Q68:T68"/>
    <mergeCell ref="Q69:T69"/>
    <mergeCell ref="Q70:T70"/>
    <mergeCell ref="Q61:T61"/>
    <mergeCell ref="Q62:T62"/>
    <mergeCell ref="Q63:T63"/>
    <mergeCell ref="Q64:T64"/>
    <mergeCell ref="Q65:T65"/>
    <mergeCell ref="P35:R35"/>
    <mergeCell ref="S35:V35"/>
    <mergeCell ref="Q24:T24"/>
    <mergeCell ref="Q25:T25"/>
    <mergeCell ref="Q26:T26"/>
    <mergeCell ref="Q27:T27"/>
    <mergeCell ref="Q28:T28"/>
    <mergeCell ref="Q29:T29"/>
    <mergeCell ref="Q30:T30"/>
    <mergeCell ref="Q31:T31"/>
    <mergeCell ref="Q33:V33"/>
    <mergeCell ref="P34:R34"/>
    <mergeCell ref="S34:V34"/>
    <mergeCell ref="Q23:T23"/>
    <mergeCell ref="Q18:T18"/>
    <mergeCell ref="Q19:T19"/>
    <mergeCell ref="Q20:T20"/>
    <mergeCell ref="Q21:T21"/>
    <mergeCell ref="Q22:T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Import</vt:lpstr>
      <vt:lpstr>Datasheet</vt:lpstr>
      <vt:lpstr>Optimize</vt:lpstr>
      <vt:lpstr>Graphs</vt:lpstr>
      <vt:lpstr>Sample1</vt:lpstr>
      <vt:lpstr>Sample2</vt:lpstr>
      <vt:lpstr>Sample3</vt:lpstr>
      <vt:lpstr>Sample4</vt:lpstr>
      <vt:lpstr>Sample5</vt:lpstr>
      <vt:lpstr>Sample6</vt:lpstr>
      <vt:lpstr>Sample7</vt:lpstr>
      <vt:lpstr>Sample8</vt:lpstr>
      <vt:lpstr>Sample9</vt:lpstr>
      <vt:lpstr>Sample10</vt:lpstr>
      <vt:lpstr>Sample11</vt:lpstr>
      <vt:lpstr>Sample12</vt:lpstr>
      <vt:lpstr>Sample13</vt:lpstr>
      <vt:lpstr>Testset</vt:lpstr>
      <vt:lpstr>Datasheet!Print_Area</vt:lpstr>
      <vt:lpstr>Graphs!Print_Area</vt:lpstr>
    </vt:vector>
  </TitlesOfParts>
  <Company>CLB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 tredecim in Excel</dc:title>
  <dc:creator>EJ Nieuwenhuys</dc:creator>
  <cp:keywords>PLA</cp:keywords>
  <cp:lastModifiedBy>Nieuwenhuys, Ed</cp:lastModifiedBy>
  <cp:lastPrinted>2018-09-19T14:41:04Z</cp:lastPrinted>
  <dcterms:created xsi:type="dcterms:W3CDTF">1998-09-16T10:16:58Z</dcterms:created>
  <dcterms:modified xsi:type="dcterms:W3CDTF">2018-12-14T14:32:20Z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